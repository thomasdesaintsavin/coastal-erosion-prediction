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oulements" sheetId="1" r:id="rId4"/>
    <sheet state="visible" name="Marnage" sheetId="2" r:id="rId5"/>
    <sheet state="visible" name="Etat de la mer" sheetId="3" r:id="rId6"/>
    <sheet state="visible" name="Croisements" sheetId="4" r:id="rId7"/>
    <sheet state="visible" name="Lithologie" sheetId="5" r:id="rId8"/>
    <sheet state="visible" name="Fracturation" sheetId="6" r:id="rId9"/>
    <sheet state="visible" name="Météo" sheetId="7" r:id="rId10"/>
    <sheet state="visible" name="Géomorphologie" sheetId="8" r:id="rId11"/>
  </sheets>
  <definedNames/>
  <calcPr/>
  <extLst>
    <ext uri="GoogleSheetsCustomDataVersion2">
      <go:sheetsCustomData xmlns:go="http://customooxmlschemas.google.com/" r:id="rId12" roundtripDataChecksum="P7X1+whki5vrNoO1MtqCSIa/IYI8q7Pu6iU/Weh4y38="/>
    </ext>
  </extLst>
</workbook>
</file>

<file path=xl/sharedStrings.xml><?xml version="1.0" encoding="utf-8"?>
<sst xmlns="http://schemas.openxmlformats.org/spreadsheetml/2006/main" count="331" uniqueCount="197">
  <si>
    <t>periode</t>
  </si>
  <si>
    <t>Cap_Fecamp</t>
  </si>
  <si>
    <t>Fecamp_Paluel</t>
  </si>
  <si>
    <t>Paluel_St-Val</t>
  </si>
  <si>
    <t xml:space="preserve">St-Val_Dieppe </t>
  </si>
  <si>
    <t xml:space="preserve">Dieppe_Penly </t>
  </si>
  <si>
    <t>Penly_Le Trepo</t>
  </si>
  <si>
    <t>nb_éboulements</t>
  </si>
  <si>
    <t>2001-2008</t>
  </si>
  <si>
    <t>2009-2012</t>
  </si>
  <si>
    <t>2013-2015</t>
  </si>
  <si>
    <t>2016-2019</t>
  </si>
  <si>
    <t>2020-2022</t>
  </si>
  <si>
    <t>nb_éboulements par cellule</t>
  </si>
  <si>
    <t>période</t>
  </si>
  <si>
    <t>nb_points</t>
  </si>
  <si>
    <t>jours_disponibles</t>
  </si>
  <si>
    <t>marnage_moy_m</t>
  </si>
  <si>
    <t>marnage_max_m</t>
  </si>
  <si>
    <t>marnage_min_m</t>
  </si>
  <si>
    <t>marnage_std_m</t>
  </si>
  <si>
    <t>jours_marnage&gt;8m</t>
  </si>
  <si>
    <t>jours_marnage&gt;9m</t>
  </si>
  <si>
    <t>IAI</t>
  </si>
  <si>
    <t>2001-01-01 → 2008-12-31</t>
  </si>
  <si>
    <t>2009-01-01 → 2012-12-31</t>
  </si>
  <si>
    <t>2013-01-01 → 2015-12-31</t>
  </si>
  <si>
    <t>2016-01-01 → 2019-12-31</t>
  </si>
  <si>
    <t>2020-01-01 → 2022-12-31</t>
  </si>
  <si>
    <t>hs_moy</t>
  </si>
  <si>
    <t>hs_max</t>
  </si>
  <si>
    <t>hs_mediane</t>
  </si>
  <si>
    <t>t02_moy</t>
  </si>
  <si>
    <t>t02_max</t>
  </si>
  <si>
    <t>energie_moy_Jm2</t>
  </si>
  <si>
    <t>energie_cumulee_Jm2</t>
  </si>
  <si>
    <t>jours_houle&gt;3m</t>
  </si>
  <si>
    <t>jours_houle&gt;4m</t>
  </si>
  <si>
    <t>houles_ouest</t>
  </si>
  <si>
    <t>dir_moy_deg</t>
  </si>
  <si>
    <t>IFM</t>
  </si>
  <si>
    <t>indice_extreme</t>
  </si>
  <si>
    <t>Lo</t>
  </si>
  <si>
    <t>pression_moy_hpa</t>
  </si>
  <si>
    <t>vent_moy_kmh</t>
  </si>
  <si>
    <t xml:space="preserve">surcote </t>
  </si>
  <si>
    <t>g</t>
  </si>
  <si>
    <t>tan(betaf)(pente)</t>
  </si>
  <si>
    <t>Run up moyen (m)</t>
  </si>
  <si>
    <t>Run up max (m)</t>
  </si>
  <si>
    <t>TWL moyen</t>
  </si>
  <si>
    <t>1995-01-01 → 2000-12-31</t>
  </si>
  <si>
    <t>N° Cellule</t>
  </si>
  <si>
    <t>Secteur principal</t>
  </si>
  <si>
    <t>Largeur Estran  min (m)</t>
  </si>
  <si>
    <t>Largeur Estran  max (m)</t>
  </si>
  <si>
    <t>beta moyen (pente)</t>
  </si>
  <si>
    <t xml:space="preserve">beta max </t>
  </si>
  <si>
    <t>tan β mpyen (pente)</t>
  </si>
  <si>
    <t>tan β max (pente)</t>
  </si>
  <si>
    <t xml:space="preserve">valeur de l'estran à rechercher </t>
  </si>
  <si>
    <t>Cap d’Antifer – Fécamp</t>
  </si>
  <si>
    <t>Fécamp – Paluel</t>
  </si>
  <si>
    <t>Paluel – Saint-Valéry-en-Caux</t>
  </si>
  <si>
    <t>Saint-Valéry – Dieppe</t>
  </si>
  <si>
    <t>Dieppe – Penly</t>
  </si>
  <si>
    <t>Penly – Le Tréport</t>
  </si>
  <si>
    <t>formation</t>
  </si>
  <si>
    <t>color</t>
  </si>
  <si>
    <t>length</t>
  </si>
  <si>
    <t>centroid_x</t>
  </si>
  <si>
    <t>centroid_y</t>
  </si>
  <si>
    <t>Cénomanien</t>
  </si>
  <si>
    <t>Black</t>
  </si>
  <si>
    <t>10582.9912980182</t>
  </si>
  <si>
    <t>Turonien</t>
  </si>
  <si>
    <t>Green</t>
  </si>
  <si>
    <t>20732.4148898077</t>
  </si>
  <si>
    <t>Coniacien</t>
  </si>
  <si>
    <t>Yellow</t>
  </si>
  <si>
    <t>148046.529554196</t>
  </si>
  <si>
    <t>16098.0538187344</t>
  </si>
  <si>
    <t>43873.0849422921</t>
  </si>
  <si>
    <t>Santonien</t>
  </si>
  <si>
    <t>Red</t>
  </si>
  <si>
    <t>51600.1803254139</t>
  </si>
  <si>
    <t>164127.561180856</t>
  </si>
  <si>
    <t>Campanien</t>
  </si>
  <si>
    <t>Pink</t>
  </si>
  <si>
    <t>36034.9412579642</t>
  </si>
  <si>
    <t>83364.224250225</t>
  </si>
  <si>
    <t>83068.0189820825</t>
  </si>
  <si>
    <t>N°cellule hydrosédimentaire</t>
  </si>
  <si>
    <t>taille cellule hydrosédimentaire (km)</t>
  </si>
  <si>
    <t>segment précis (repères géographiques)</t>
  </si>
  <si>
    <t>longueur du segment (km)</t>
  </si>
  <si>
    <t>type de fractures (MFT ou TFT)</t>
  </si>
  <si>
    <t>Espacement petit (m)</t>
  </si>
  <si>
    <t>Espacement grand (m)</t>
  </si>
  <si>
    <t>densité (fract/m)</t>
  </si>
  <si>
    <t>fracturation (fract/km)</t>
  </si>
  <si>
    <t>moyenne fracturation par cellule TFT</t>
  </si>
  <si>
    <t>moyenne fracturation par cellule MFT</t>
  </si>
  <si>
    <t>logueur totale du littoral (km)</t>
  </si>
  <si>
    <t>Cellule</t>
  </si>
  <si>
    <t>Taille (km)</t>
  </si>
  <si>
    <t>numéro</t>
  </si>
  <si>
    <t>Cap d’Antifer – Le Tilleul</t>
  </si>
  <si>
    <t>TFT</t>
  </si>
  <si>
    <t>Le Tilleul – Étretat</t>
  </si>
  <si>
    <t>Étretat – Vaucottes</t>
  </si>
  <si>
    <t>Paluel – St-Valéry-en-Caux</t>
  </si>
  <si>
    <t>Vaucottes – Yport – Fécamp</t>
  </si>
  <si>
    <t>St-Valéry-en-Caux – Dieppe</t>
  </si>
  <si>
    <t>MFT</t>
  </si>
  <si>
    <t>Vaucottes – Yport</t>
  </si>
  <si>
    <t>Yport – Fécamp</t>
  </si>
  <si>
    <t>Fécamp – St-Pierre</t>
  </si>
  <si>
    <t>St-Pierre – Sassetot</t>
  </si>
  <si>
    <t>Sassetot – Grandes Dalles</t>
  </si>
  <si>
    <t>Grandes Dalles – Petites Dalles</t>
  </si>
  <si>
    <t>Petites Dalles – Paluel</t>
  </si>
  <si>
    <t>St-Pierre – Grandes Dalles</t>
  </si>
  <si>
    <t>Petites Dalles – Sassetot</t>
  </si>
  <si>
    <t>Sassetot – Veulettes</t>
  </si>
  <si>
    <t>Veulettes – Paluel Ouest</t>
  </si>
  <si>
    <t>Paluel Ouest – Paluel Est</t>
  </si>
  <si>
    <t>Paluel Est</t>
  </si>
  <si>
    <t>Paluel – zone ouest</t>
  </si>
  <si>
    <t>Zone ouest – St-Valéry-en-Caux</t>
  </si>
  <si>
    <t>St-Valéry-en-Caux – Veules Ouest</t>
  </si>
  <si>
    <t>Veules Ouest – Veules Centre</t>
  </si>
  <si>
    <t>Veules Centre – Veules Est</t>
  </si>
  <si>
    <t>Veules Est – Sotteville Ouest</t>
  </si>
  <si>
    <t>Sotteville Ouest – Sotteville Est</t>
  </si>
  <si>
    <t>Sotteville Est – St-Aubin</t>
  </si>
  <si>
    <t>St-Aubin – Quiberville</t>
  </si>
  <si>
    <t>Quiberville – Dieppe</t>
  </si>
  <si>
    <t>Quiberville – Varengeville</t>
  </si>
  <si>
    <t>Varengeville – Dieppe</t>
  </si>
  <si>
    <t>Dieppe – Puys</t>
  </si>
  <si>
    <t>Puys – Berneval</t>
  </si>
  <si>
    <t>Berneval – Belleville</t>
  </si>
  <si>
    <t>Belleville – Penly</t>
  </si>
  <si>
    <t>Belleville – Penly Ouest</t>
  </si>
  <si>
    <t>Penly Ouest – Penly Est</t>
  </si>
  <si>
    <t>Penly – Criel-sur-Mer</t>
  </si>
  <si>
    <t>Criel-sur-Mer – Mers-les-Bains Ouest</t>
  </si>
  <si>
    <t>Mers-les-Bains Ouest – Mers-les-Bains Est</t>
  </si>
  <si>
    <t>Mers-les-Bains Est – Ault Ouest</t>
  </si>
  <si>
    <t>Ault Ouest – Ault Est</t>
  </si>
  <si>
    <t>Ault Est – Le Tréport</t>
  </si>
  <si>
    <t>nb_jours</t>
  </si>
  <si>
    <t>pluie_cum_mm</t>
  </si>
  <si>
    <t>jours_pluie</t>
  </si>
  <si>
    <t>jours_forte_pluie</t>
  </si>
  <si>
    <t>max_pluie_jour</t>
  </si>
  <si>
    <t>nb_seq_pluie_3j</t>
  </si>
  <si>
    <t>max_cum_pluie_5j</t>
  </si>
  <si>
    <t>nb_seq_seche_10j</t>
  </si>
  <si>
    <t>pluie_95p</t>
  </si>
  <si>
    <t>pluie_extreme_ratio</t>
  </si>
  <si>
    <t>jours_gel</t>
  </si>
  <si>
    <t>jours_tres_chauds</t>
  </si>
  <si>
    <t>jours_gel_degel</t>
  </si>
  <si>
    <t>nb_seq_gel_3j</t>
  </si>
  <si>
    <t>plus_longue_serie_gel_consecutif</t>
  </si>
  <si>
    <t>nb_seq_gel_degel_rapide</t>
  </si>
  <si>
    <t>T_ampli_95p</t>
  </si>
  <si>
    <t>nb_jours_ampli_sup_10</t>
  </si>
  <si>
    <t>jours_vent_fort_60</t>
  </si>
  <si>
    <t>jours_tempete_80</t>
  </si>
  <si>
    <t>rafale_max_kmh</t>
  </si>
  <si>
    <t>nb_tempetes_consecutives</t>
  </si>
  <si>
    <t>plus_longue_serie_tempete_consecutive</t>
  </si>
  <si>
    <t>energie_vent_cumulee</t>
  </si>
  <si>
    <t>nb_jours_vent_dir_Ouest</t>
  </si>
  <si>
    <t>jours_basse_pression</t>
  </si>
  <si>
    <t>pression_min_hpa</t>
  </si>
  <si>
    <t>max_drop_pression_24h</t>
  </si>
  <si>
    <t>pression_std_hpa</t>
  </si>
  <si>
    <t>nb_jours_depression</t>
  </si>
  <si>
    <t>nb_seq_depression_3j</t>
  </si>
  <si>
    <t>nb_jours_pmermin</t>
  </si>
  <si>
    <t>humidite_moy_pct</t>
  </si>
  <si>
    <t>jours_humide_90</t>
  </si>
  <si>
    <t>nb_seq_humide_3j</t>
  </si>
  <si>
    <t>U_95p</t>
  </si>
  <si>
    <t>jours_pluie_et_vent_fort</t>
  </si>
  <si>
    <t>pluie_apres_gel</t>
  </si>
  <si>
    <t>tempete_apres_pluie</t>
  </si>
  <si>
    <t>nb_combinaisons_critiques</t>
  </si>
  <si>
    <t>Sous-cellule hydro-sédimentaire</t>
  </si>
  <si>
    <t>Distance moyenne de recul (1947–2013)</t>
  </si>
  <si>
    <t>Durée (ans)</t>
  </si>
  <si>
    <t>Taux de recul (m/an)</t>
  </si>
  <si>
    <t>Paluel – Saint-Valéry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</si>
</sst>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b/>
      <sz val="8.0"/>
      <color rgb="FF000000"/>
      <name val="Calibri"/>
    </font>
    <font>
      <sz val="8.0"/>
      <color rgb="FF000000"/>
      <name val="Calibri"/>
    </font>
    <font>
      <b/>
      <sz val="11.0"/>
      <color rgb="FF000000"/>
      <name val="Calibri"/>
    </font>
    <font>
      <b/>
      <sz val="11.0"/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b/>
      <sz val="8.0"/>
      <color rgb="FF000000"/>
      <name val="Helvetica Neue"/>
    </font>
    <font>
      <sz val="8.0"/>
      <color rgb="FF000000"/>
      <name val="Helvetica Neue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bottom style="thin">
        <color rgb="FFD2D2DF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top"/>
    </xf>
    <xf borderId="0" fillId="0" fontId="4" numFmtId="0" xfId="0" applyFont="1"/>
    <xf borderId="0" fillId="0" fontId="4" numFmtId="0" xfId="0" applyAlignment="1" applyFont="1">
      <alignment horizontal="right"/>
    </xf>
    <xf borderId="2" fillId="0" fontId="4" numFmtId="0" xfId="0" applyBorder="1" applyFont="1"/>
    <xf borderId="2" fillId="0" fontId="4" numFmtId="0" xfId="0" applyAlignment="1" applyBorder="1" applyFont="1">
      <alignment horizontal="right"/>
    </xf>
    <xf borderId="3" fillId="0" fontId="4" numFmtId="0" xfId="0" applyBorder="1" applyFont="1"/>
    <xf borderId="3" fillId="0" fontId="4" numFmtId="0" xfId="0" applyAlignment="1" applyBorder="1" applyFont="1">
      <alignment horizontal="right"/>
    </xf>
    <xf borderId="1" fillId="2" fontId="3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vertical="bottom"/>
    </xf>
    <xf borderId="0" fillId="2" fontId="3" numFmtId="0" xfId="0" applyAlignment="1" applyFont="1">
      <alignment horizontal="center" vertical="top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center" readingOrder="0" vertical="top"/>
    </xf>
    <xf borderId="1" fillId="2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shrinkToFit="0" vertical="top" wrapText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right"/>
    </xf>
    <xf borderId="1" fillId="0" fontId="11" numFmtId="0" xfId="0" applyAlignment="1" applyBorder="1" applyFont="1">
      <alignment readingOrder="0"/>
    </xf>
    <xf borderId="1" fillId="0" fontId="10" numFmtId="0" xfId="0" applyAlignment="1" applyBorder="1" applyFont="1">
      <alignment horizontal="right" shrinkToFit="0" vertical="bottom" wrapText="0"/>
    </xf>
    <xf borderId="1" fillId="0" fontId="9" numFmtId="0" xfId="0" applyBorder="1" applyFont="1"/>
    <xf borderId="4" fillId="0" fontId="9" numFmtId="0" xfId="0" applyBorder="1" applyFont="1"/>
    <xf borderId="5" fillId="0" fontId="10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right" vertical="bottom"/>
    </xf>
    <xf borderId="1" fillId="0" fontId="15" numFmtId="0" xfId="0" applyAlignment="1" applyBorder="1" applyFont="1">
      <alignment vertical="bottom"/>
    </xf>
    <xf borderId="1" fillId="3" fontId="16" numFmtId="0" xfId="0" applyAlignment="1" applyBorder="1" applyFill="1" applyFont="1">
      <alignment vertical="top"/>
    </xf>
    <xf borderId="1" fillId="0" fontId="17" numFmtId="0" xfId="0" applyAlignment="1" applyBorder="1" applyFont="1">
      <alignment vertical="top"/>
    </xf>
    <xf borderId="1" fillId="3" fontId="16" numFmtId="0" xfId="0" applyAlignment="1" applyBorder="1" applyFont="1">
      <alignment readingOrder="0" vertical="top"/>
    </xf>
    <xf borderId="1" fillId="4" fontId="16" numFmtId="0" xfId="0" applyAlignment="1" applyBorder="1" applyFill="1" applyFont="1">
      <alignment vertical="top"/>
    </xf>
    <xf borderId="1" fillId="0" fontId="18" numFmtId="0" xfId="0" applyAlignment="1" applyBorder="1" applyFont="1">
      <alignment vertical="top"/>
    </xf>
    <xf borderId="0" fillId="2" fontId="5" numFmtId="0" xfId="0" applyAlignment="1" applyFont="1">
      <alignment horizontal="center" vertical="top"/>
    </xf>
    <xf borderId="0" fillId="0" fontId="10" numFmtId="0" xfId="0" applyAlignment="1" applyFont="1">
      <alignment vertical="bottom"/>
    </xf>
    <xf borderId="1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4" fillId="0" fontId="17" numFmtId="0" xfId="0" applyAlignment="1" applyBorder="1" applyFont="1">
      <alignment vertical="top"/>
    </xf>
    <xf borderId="6" fillId="0" fontId="17" numFmtId="0" xfId="0" applyAlignment="1" applyBorder="1" applyFont="1">
      <alignment vertical="top"/>
    </xf>
    <xf borderId="1" fillId="0" fontId="17" numFmtId="0" xfId="0" applyAlignment="1" applyBorder="1" applyFont="1">
      <alignment readingOrder="0" vertical="top"/>
    </xf>
    <xf borderId="4" fillId="0" fontId="17" numFmtId="0" xfId="0" applyAlignment="1" applyBorder="1" applyFont="1">
      <alignment readingOrder="0" vertical="top"/>
    </xf>
    <xf borderId="6" fillId="0" fontId="17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>
        <v>27.0</v>
      </c>
      <c r="C2" s="5">
        <v>39.0</v>
      </c>
      <c r="D2" s="4">
        <v>17.0</v>
      </c>
      <c r="E2" s="5">
        <v>36.0</v>
      </c>
      <c r="F2" s="4">
        <v>18.0</v>
      </c>
      <c r="G2" s="5">
        <v>35.0</v>
      </c>
      <c r="H2" s="6">
        <v>172.0</v>
      </c>
    </row>
    <row r="3" ht="15.75" customHeight="1">
      <c r="A3" s="3" t="s">
        <v>9</v>
      </c>
      <c r="B3" s="4">
        <v>9.0</v>
      </c>
      <c r="C3" s="5">
        <v>30.0</v>
      </c>
      <c r="D3" s="4">
        <v>5.0</v>
      </c>
      <c r="E3" s="5">
        <v>32.0</v>
      </c>
      <c r="F3" s="4">
        <v>24.0</v>
      </c>
      <c r="G3" s="5">
        <v>34.0</v>
      </c>
      <c r="H3" s="6">
        <v>134.0</v>
      </c>
    </row>
    <row r="4" ht="15.75" customHeight="1">
      <c r="A4" s="3" t="s">
        <v>10</v>
      </c>
      <c r="B4" s="4">
        <v>7.0</v>
      </c>
      <c r="C4" s="5">
        <v>16.0</v>
      </c>
      <c r="D4" s="4">
        <v>2.0</v>
      </c>
      <c r="E4" s="5">
        <v>38.0</v>
      </c>
      <c r="F4" s="4">
        <v>12.0</v>
      </c>
      <c r="G4" s="5">
        <v>9.0</v>
      </c>
      <c r="H4" s="6">
        <v>84.0</v>
      </c>
    </row>
    <row r="5" ht="15.75" customHeight="1">
      <c r="A5" s="3" t="s">
        <v>11</v>
      </c>
      <c r="B5" s="4">
        <v>11.0</v>
      </c>
      <c r="C5" s="5">
        <v>25.0</v>
      </c>
      <c r="D5" s="4">
        <v>4.0</v>
      </c>
      <c r="E5" s="5">
        <v>35.0</v>
      </c>
      <c r="F5" s="4">
        <v>15.0</v>
      </c>
      <c r="G5" s="5">
        <v>19.0</v>
      </c>
      <c r="H5" s="6">
        <v>109.0</v>
      </c>
    </row>
    <row r="6" ht="15.75" customHeight="1">
      <c r="A6" s="3" t="s">
        <v>12</v>
      </c>
      <c r="B6" s="4">
        <v>12.0</v>
      </c>
      <c r="C6" s="5">
        <v>21.0</v>
      </c>
      <c r="D6" s="4">
        <v>5.0</v>
      </c>
      <c r="E6" s="5">
        <v>29.0</v>
      </c>
      <c r="F6" s="4">
        <v>12.0</v>
      </c>
      <c r="G6" s="5">
        <v>22.0</v>
      </c>
      <c r="H6" s="6">
        <v>101.0</v>
      </c>
    </row>
    <row r="7" ht="15.75" customHeight="1">
      <c r="A7" s="7" t="s">
        <v>13</v>
      </c>
      <c r="B7" s="8">
        <f t="shared" ref="B7:H7" si="1">SUM(B2:B6)</f>
        <v>66</v>
      </c>
      <c r="C7" s="8">
        <f t="shared" si="1"/>
        <v>131</v>
      </c>
      <c r="D7" s="8">
        <f t="shared" si="1"/>
        <v>33</v>
      </c>
      <c r="E7" s="8">
        <f t="shared" si="1"/>
        <v>170</v>
      </c>
      <c r="F7" s="8">
        <f t="shared" si="1"/>
        <v>81</v>
      </c>
      <c r="G7" s="8">
        <f t="shared" si="1"/>
        <v>119</v>
      </c>
      <c r="H7" s="8">
        <f t="shared" si="1"/>
        <v>600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</row>
    <row r="2" ht="15.75" customHeight="1">
      <c r="A2" s="10" t="s">
        <v>24</v>
      </c>
      <c r="B2" s="11">
        <v>38698.0</v>
      </c>
      <c r="C2" s="11">
        <v>1707.0</v>
      </c>
      <c r="D2" s="11">
        <v>6.2875589</v>
      </c>
      <c r="E2" s="11">
        <v>9.83</v>
      </c>
      <c r="F2" s="11">
        <v>0.0</v>
      </c>
      <c r="G2" s="11">
        <v>2.1165597</v>
      </c>
      <c r="H2" s="11">
        <v>316.0</v>
      </c>
      <c r="I2" s="11">
        <v>74.0</v>
      </c>
      <c r="J2" s="11">
        <v>1986.8686</v>
      </c>
    </row>
    <row r="3" ht="15.75" customHeight="1">
      <c r="A3" s="10" t="s">
        <v>25</v>
      </c>
      <c r="B3" s="11">
        <v>33926.0</v>
      </c>
      <c r="C3" s="11">
        <v>1419.0</v>
      </c>
      <c r="D3" s="11">
        <v>6.7280557</v>
      </c>
      <c r="E3" s="11">
        <v>9.87</v>
      </c>
      <c r="F3" s="11">
        <v>0.0</v>
      </c>
      <c r="G3" s="11">
        <v>1.5290958</v>
      </c>
      <c r="H3" s="11">
        <v>313.0</v>
      </c>
      <c r="I3" s="11">
        <v>73.0</v>
      </c>
      <c r="J3" s="11">
        <v>2105.8814</v>
      </c>
    </row>
    <row r="4" ht="15.75" customHeight="1">
      <c r="A4" s="10" t="s">
        <v>26</v>
      </c>
      <c r="B4" s="11">
        <v>25943.0</v>
      </c>
      <c r="C4" s="11">
        <v>1087.0</v>
      </c>
      <c r="D4" s="11">
        <v>6.9065768</v>
      </c>
      <c r="E4" s="11">
        <v>9.815</v>
      </c>
      <c r="F4" s="11">
        <v>0.0</v>
      </c>
      <c r="G4" s="11">
        <v>1.4936937</v>
      </c>
      <c r="H4" s="11">
        <v>274.0</v>
      </c>
      <c r="I4" s="11">
        <v>69.0</v>
      </c>
      <c r="J4" s="11">
        <v>1892.402</v>
      </c>
    </row>
    <row r="5" ht="15.75" customHeight="1">
      <c r="A5" s="10" t="s">
        <v>27</v>
      </c>
      <c r="B5" s="11">
        <v>34964.0</v>
      </c>
      <c r="C5" s="11">
        <v>1460.0</v>
      </c>
      <c r="D5" s="11">
        <v>6.8548582</v>
      </c>
      <c r="E5" s="11">
        <v>9.752</v>
      </c>
      <c r="F5" s="11">
        <v>0.0</v>
      </c>
      <c r="G5" s="11">
        <v>1.4787333</v>
      </c>
      <c r="H5" s="11">
        <v>354.0</v>
      </c>
      <c r="I5" s="11">
        <v>86.0</v>
      </c>
      <c r="J5" s="11">
        <v>2426.6198</v>
      </c>
    </row>
    <row r="6" ht="15.75" customHeight="1">
      <c r="A6" s="10" t="s">
        <v>28</v>
      </c>
      <c r="B6" s="11">
        <v>23736.0</v>
      </c>
      <c r="C6" s="11">
        <v>1005.0</v>
      </c>
      <c r="D6" s="11">
        <v>6.6881423</v>
      </c>
      <c r="E6" s="11">
        <v>9.958</v>
      </c>
      <c r="F6" s="11">
        <v>2.606</v>
      </c>
      <c r="G6" s="11">
        <v>1.5211849</v>
      </c>
      <c r="H6" s="11">
        <v>216.0</v>
      </c>
      <c r="I6" s="11">
        <v>43.0</v>
      </c>
      <c r="J6" s="11">
        <v>1444.6387</v>
      </c>
    </row>
    <row r="7" ht="15.75" customHeight="1"/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</row>
    <row r="9" ht="15.75" customHeight="1">
      <c r="A9" s="13"/>
      <c r="B9" s="14"/>
      <c r="C9" s="14"/>
      <c r="D9" s="14"/>
      <c r="E9" s="14"/>
      <c r="F9" s="14"/>
      <c r="G9" s="14"/>
      <c r="H9" s="14"/>
      <c r="I9" s="14"/>
      <c r="J9" s="14"/>
    </row>
    <row r="10" ht="15.7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</row>
    <row r="11" ht="15.75" customHeight="1">
      <c r="A11" s="15"/>
      <c r="B11" s="16"/>
      <c r="C11" s="16"/>
      <c r="D11" s="16"/>
      <c r="E11" s="16"/>
      <c r="F11" s="16"/>
      <c r="G11" s="16"/>
      <c r="H11" s="16"/>
      <c r="I11" s="16"/>
      <c r="J11" s="16"/>
    </row>
    <row r="12" ht="15.75" customHeight="1">
      <c r="A12" s="17"/>
      <c r="B12" s="18"/>
      <c r="C12" s="18"/>
      <c r="D12" s="18"/>
      <c r="E12" s="18"/>
      <c r="F12" s="18"/>
      <c r="G12" s="18"/>
      <c r="H12" s="18"/>
      <c r="I12" s="18"/>
      <c r="J12" s="18"/>
    </row>
    <row r="13" ht="15.7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</row>
    <row r="14" ht="15.75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9" t="s">
        <v>14</v>
      </c>
      <c r="B1" s="19" t="s">
        <v>15</v>
      </c>
      <c r="C1" s="19" t="s">
        <v>29</v>
      </c>
      <c r="D1" s="19" t="s">
        <v>30</v>
      </c>
      <c r="E1" s="19" t="s">
        <v>31</v>
      </c>
      <c r="F1" s="19" t="s">
        <v>32</v>
      </c>
      <c r="G1" s="19" t="s">
        <v>33</v>
      </c>
      <c r="H1" s="19" t="s">
        <v>34</v>
      </c>
      <c r="I1" s="19" t="s">
        <v>35</v>
      </c>
      <c r="J1" s="19" t="s">
        <v>36</v>
      </c>
      <c r="K1" s="19" t="s">
        <v>37</v>
      </c>
      <c r="L1" s="20" t="s">
        <v>38</v>
      </c>
      <c r="M1" s="19" t="s">
        <v>39</v>
      </c>
      <c r="N1" s="19" t="s">
        <v>40</v>
      </c>
      <c r="O1" s="19" t="s">
        <v>41</v>
      </c>
    </row>
    <row r="2" ht="15.75" customHeight="1">
      <c r="A2" s="21" t="s">
        <v>24</v>
      </c>
      <c r="B2" s="21">
        <v>70105.0</v>
      </c>
      <c r="C2" s="21">
        <v>0.817650895085942</v>
      </c>
      <c r="D2" s="21">
        <v>4.074</v>
      </c>
      <c r="E2" s="21">
        <v>0.674</v>
      </c>
      <c r="F2" s="21">
        <v>3.54492489836674</v>
      </c>
      <c r="G2" s="21">
        <v>11.19</v>
      </c>
      <c r="H2" s="21">
        <v>1203.655475466</v>
      </c>
      <c r="I2" s="21">
        <v>8.43822671075438E7</v>
      </c>
      <c r="J2" s="21">
        <v>5.66666666666667</v>
      </c>
      <c r="K2" s="21">
        <v>0.125</v>
      </c>
      <c r="L2" s="21">
        <v>0.710619784608801</v>
      </c>
      <c r="M2" s="21">
        <v>303.9389063954</v>
      </c>
      <c r="N2" s="21">
        <v>20.147987817016</v>
      </c>
      <c r="O2" s="21">
        <v>4.98256655069372</v>
      </c>
    </row>
    <row r="3" ht="15.75" customHeight="1">
      <c r="A3" s="21" t="s">
        <v>25</v>
      </c>
      <c r="B3" s="21">
        <v>35041.0</v>
      </c>
      <c r="C3" s="21">
        <v>0.80407482663166</v>
      </c>
      <c r="D3" s="21">
        <v>3.788</v>
      </c>
      <c r="E3" s="21">
        <v>0.67</v>
      </c>
      <c r="F3" s="21">
        <v>3.5642689991724</v>
      </c>
      <c r="G3" s="21">
        <v>9.33</v>
      </c>
      <c r="H3" s="21">
        <v>1125.28699941127</v>
      </c>
      <c r="I3" s="21">
        <v>3.94311817463704E7</v>
      </c>
      <c r="J3" s="21">
        <v>2.0</v>
      </c>
      <c r="K3" s="21">
        <v>0.0</v>
      </c>
      <c r="L3" s="21">
        <v>0.742045032961388</v>
      </c>
      <c r="M3" s="21">
        <v>301.642987359627</v>
      </c>
      <c r="N3" s="21">
        <v>18.5886797648151</v>
      </c>
      <c r="O3" s="21">
        <v>4.71100434255387</v>
      </c>
    </row>
    <row r="4" ht="15.75" customHeight="1">
      <c r="A4" s="21" t="s">
        <v>26</v>
      </c>
      <c r="B4" s="21">
        <v>26257.0</v>
      </c>
      <c r="C4" s="21">
        <v>0.831553795178428</v>
      </c>
      <c r="D4" s="21">
        <v>3.532</v>
      </c>
      <c r="E4" s="21">
        <v>0.692</v>
      </c>
      <c r="F4" s="21">
        <v>3.57363979129375</v>
      </c>
      <c r="G4" s="21">
        <v>9.49</v>
      </c>
      <c r="H4" s="21">
        <v>1208.46819903853</v>
      </c>
      <c r="I4" s="21">
        <v>3.17307495021547E7</v>
      </c>
      <c r="J4" s="21">
        <v>1.375</v>
      </c>
      <c r="K4" s="21">
        <v>0.0</v>
      </c>
      <c r="L4" s="21">
        <v>0.728491449899075</v>
      </c>
      <c r="M4" s="21">
        <v>302.394012264156</v>
      </c>
      <c r="N4" s="21">
        <v>18.1377942220136</v>
      </c>
      <c r="O4" s="21">
        <v>4.24747024242987</v>
      </c>
    </row>
    <row r="5" ht="15.75" customHeight="1">
      <c r="A5" s="21" t="s">
        <v>27</v>
      </c>
      <c r="B5" s="21">
        <v>35041.0</v>
      </c>
      <c r="C5" s="21">
        <v>0.807861305328044</v>
      </c>
      <c r="D5" s="21">
        <v>3.678</v>
      </c>
      <c r="E5" s="21">
        <v>0.654</v>
      </c>
      <c r="F5" s="21">
        <v>3.58174253017893</v>
      </c>
      <c r="G5" s="21">
        <v>10.53</v>
      </c>
      <c r="H5" s="21">
        <v>1181.95383943006</v>
      </c>
      <c r="I5" s="21">
        <v>4.14168444874687E7</v>
      </c>
      <c r="J5" s="21">
        <v>4.95833333333333</v>
      </c>
      <c r="K5" s="21">
        <v>0.0</v>
      </c>
      <c r="L5" s="21">
        <v>0.745869124739591</v>
      </c>
      <c r="M5" s="21">
        <v>301.229576421274</v>
      </c>
      <c r="N5" s="21">
        <v>19.3239890276357</v>
      </c>
      <c r="O5" s="21">
        <v>4.55276168785741</v>
      </c>
    </row>
    <row r="6" ht="15.75" customHeight="1">
      <c r="A6" s="21" t="s">
        <v>28</v>
      </c>
      <c r="B6" s="21">
        <v>26281.0</v>
      </c>
      <c r="C6" s="21">
        <v>0.846373299221015</v>
      </c>
      <c r="D6" s="21">
        <v>4.05600023269653</v>
      </c>
      <c r="E6" s="21">
        <v>0.688</v>
      </c>
      <c r="F6" s="21">
        <v>3.59749623582178</v>
      </c>
      <c r="G6" s="21">
        <v>10.039999961853</v>
      </c>
      <c r="H6" s="21">
        <v>1312.45549465136</v>
      </c>
      <c r="I6" s="21">
        <v>3.44926428549323E7</v>
      </c>
      <c r="J6" s="21">
        <v>3.875</v>
      </c>
      <c r="K6" s="21">
        <v>0.125</v>
      </c>
      <c r="L6" s="21">
        <v>0.71584034093071</v>
      </c>
      <c r="M6" s="21">
        <v>303.07669859937</v>
      </c>
      <c r="N6" s="21">
        <v>18.9403767131286</v>
      </c>
      <c r="O6" s="21">
        <v>4.79221194292116</v>
      </c>
    </row>
    <row r="7" ht="15.75" customHeight="1"/>
    <row r="8" ht="15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1.13"/>
    <col customWidth="1" min="3" max="3" width="20.38"/>
    <col customWidth="1" min="4" max="4" width="20.88"/>
    <col customWidth="1" min="5" max="5" width="15.63"/>
    <col customWidth="1" min="6" max="6" width="18.38"/>
    <col customWidth="1" min="7" max="7" width="18.63"/>
    <col customWidth="1" min="8" max="8" width="18.38"/>
    <col customWidth="1" min="17" max="17" width="17.63"/>
    <col customWidth="1" min="18" max="18" width="15.63"/>
    <col customWidth="1" min="20" max="20" width="16.63"/>
    <col customWidth="1" min="21" max="21" width="15.63"/>
  </cols>
  <sheetData>
    <row r="1">
      <c r="A1" s="24"/>
      <c r="B1" s="25" t="s">
        <v>14</v>
      </c>
      <c r="C1" s="26" t="s">
        <v>17</v>
      </c>
      <c r="D1" s="26" t="s">
        <v>18</v>
      </c>
      <c r="E1" s="26" t="s">
        <v>19</v>
      </c>
      <c r="F1" s="26" t="s">
        <v>20</v>
      </c>
      <c r="G1" s="25" t="s">
        <v>29</v>
      </c>
      <c r="H1" s="25" t="s">
        <v>30</v>
      </c>
      <c r="I1" s="25" t="s">
        <v>31</v>
      </c>
      <c r="J1" s="25" t="s">
        <v>32</v>
      </c>
      <c r="K1" s="25" t="s">
        <v>33</v>
      </c>
      <c r="L1" s="27" t="s">
        <v>42</v>
      </c>
      <c r="M1" s="28" t="s">
        <v>43</v>
      </c>
      <c r="N1" s="28" t="s">
        <v>44</v>
      </c>
      <c r="O1" s="29" t="s">
        <v>45</v>
      </c>
      <c r="P1" s="27" t="s">
        <v>46</v>
      </c>
      <c r="Q1" s="27" t="s">
        <v>47</v>
      </c>
      <c r="R1" s="29"/>
      <c r="S1" s="30"/>
      <c r="T1" s="27" t="s">
        <v>48</v>
      </c>
      <c r="U1" s="27" t="s">
        <v>49</v>
      </c>
      <c r="V1" s="31" t="s">
        <v>50</v>
      </c>
    </row>
    <row r="2">
      <c r="A2" s="32"/>
      <c r="B2" s="33" t="s">
        <v>51</v>
      </c>
      <c r="C2" s="34">
        <v>6.7250267</v>
      </c>
      <c r="D2" s="34">
        <v>9.34</v>
      </c>
      <c r="E2" s="34">
        <v>0.0</v>
      </c>
      <c r="F2" s="34">
        <v>1.7641796</v>
      </c>
      <c r="G2" s="33">
        <v>0.843727428375756</v>
      </c>
      <c r="H2" s="33">
        <v>2.974</v>
      </c>
      <c r="I2" s="33">
        <v>0.742</v>
      </c>
      <c r="J2" s="33">
        <v>3.64381919872161</v>
      </c>
      <c r="K2" s="33">
        <v>11.24</v>
      </c>
      <c r="L2" s="35">
        <f> ( P2*(K2)^2 ) / 2*3.14</f>
        <v>1945.813814</v>
      </c>
      <c r="M2" s="36">
        <v>1015.660865</v>
      </c>
      <c r="N2" s="36">
        <v>17.77896456</v>
      </c>
      <c r="O2" s="37">
        <f t="shared" ref="O2:O7" si="2">((1013 - M2)*0.01) + (0.0002*(N2^2))
</f>
        <v>0.03660966617</v>
      </c>
      <c r="P2" s="35">
        <v>9.81</v>
      </c>
      <c r="Q2" s="35">
        <v>0.1</v>
      </c>
      <c r="R2" s="37"/>
      <c r="S2" s="37"/>
      <c r="T2" s="37">
        <f t="shared" ref="T2:U2" si="1">1.1*(0.35*$Q$2*SQRT(G2*($P$2*(I2^2)/(2*PI()))) + (SQRT(G2*($P$2*(I2^2)/(2*PI()))*(0.563*$Q$2^2+0.004))/2))</f>
        <v>0.07875245161</v>
      </c>
      <c r="U2" s="37">
        <f t="shared" si="1"/>
        <v>0.7260832117</v>
      </c>
      <c r="V2" s="38">
        <f t="shared" ref="V2:V7" si="4"> C2/2 + O2 + T2</f>
        <v>3.477875468</v>
      </c>
    </row>
    <row r="3">
      <c r="A3" s="23"/>
      <c r="B3" s="33" t="s">
        <v>24</v>
      </c>
      <c r="C3" s="34">
        <v>6.2875589</v>
      </c>
      <c r="D3" s="34">
        <v>9.83</v>
      </c>
      <c r="E3" s="34">
        <v>0.0</v>
      </c>
      <c r="F3" s="34">
        <v>2.1165597</v>
      </c>
      <c r="G3" s="33">
        <v>0.817650895085942</v>
      </c>
      <c r="H3" s="33">
        <v>4.074</v>
      </c>
      <c r="I3" s="33">
        <v>0.674</v>
      </c>
      <c r="J3" s="33">
        <v>3.54492489836674</v>
      </c>
      <c r="K3" s="33">
        <v>11.19</v>
      </c>
      <c r="L3" s="35">
        <f>P2*(K3^2)/(2*PI())
</f>
        <v>195.5011481</v>
      </c>
      <c r="M3" s="36">
        <v>1016.380239</v>
      </c>
      <c r="N3" s="36">
        <v>17.35032368</v>
      </c>
      <c r="O3" s="37">
        <f t="shared" si="2"/>
        <v>0.02640435636</v>
      </c>
      <c r="P3" s="35"/>
      <c r="Q3" s="37"/>
      <c r="R3" s="37"/>
      <c r="S3" s="37"/>
      <c r="T3" s="37">
        <f t="shared" ref="T3:U3" si="3">1.1*(0.35*$Q$2*SQRT(G3*($P$2*(I3^2)/(2*PI()))) + (SQRT(G3*($P$2*(I3^2)/(2*PI()))*(0.563*$Q$2^2+0.004))/2))</f>
        <v>0.07042112329</v>
      </c>
      <c r="U3" s="37">
        <f t="shared" si="3"/>
        <v>0.8267546468</v>
      </c>
      <c r="V3" s="38">
        <f t="shared" si="4"/>
        <v>3.24060493</v>
      </c>
    </row>
    <row r="4">
      <c r="A4" s="23"/>
      <c r="B4" s="33" t="s">
        <v>25</v>
      </c>
      <c r="C4" s="34">
        <v>6.7280557</v>
      </c>
      <c r="D4" s="34">
        <v>9.87</v>
      </c>
      <c r="E4" s="34">
        <v>0.0</v>
      </c>
      <c r="F4" s="34">
        <v>1.5290958</v>
      </c>
      <c r="G4" s="33">
        <v>0.80407482663166</v>
      </c>
      <c r="H4" s="33">
        <v>3.788</v>
      </c>
      <c r="I4" s="33">
        <v>0.67</v>
      </c>
      <c r="J4" s="33">
        <v>3.5642689991724</v>
      </c>
      <c r="K4" s="33">
        <v>9.33</v>
      </c>
      <c r="L4" s="35">
        <f>P2*(K4^2)/(2*PI())
</f>
        <v>135.9103173</v>
      </c>
      <c r="M4" s="36">
        <v>1015.824962</v>
      </c>
      <c r="N4" s="36">
        <v>16.98646714</v>
      </c>
      <c r="O4" s="37">
        <f t="shared" si="2"/>
        <v>0.02945839318</v>
      </c>
      <c r="P4" s="35"/>
      <c r="Q4" s="37"/>
      <c r="R4" s="37"/>
      <c r="S4" s="37"/>
      <c r="T4" s="37">
        <f t="shared" ref="T4:U4" si="5">1.1*(0.35*$Q$2*SQRT(G4*($P$2*(I4^2)/(2*PI()))) + (SQRT(G4*($P$2*(I4^2)/(2*PI()))*(0.563*$Q$2^2+0.004))/2))</f>
        <v>0.06941960353</v>
      </c>
      <c r="U4" s="37">
        <f t="shared" si="5"/>
        <v>0.8015572597</v>
      </c>
      <c r="V4" s="38">
        <f t="shared" si="4"/>
        <v>3.462905847</v>
      </c>
    </row>
    <row r="5">
      <c r="A5" s="23"/>
      <c r="B5" s="33" t="s">
        <v>26</v>
      </c>
      <c r="C5" s="34">
        <v>6.9065768</v>
      </c>
      <c r="D5" s="34">
        <v>9.815</v>
      </c>
      <c r="E5" s="34">
        <v>0.0</v>
      </c>
      <c r="F5" s="34">
        <v>1.4936937</v>
      </c>
      <c r="G5" s="33">
        <v>0.831553795178428</v>
      </c>
      <c r="H5" s="33">
        <v>3.532</v>
      </c>
      <c r="I5" s="33">
        <v>0.692</v>
      </c>
      <c r="J5" s="33">
        <v>3.57363979129375</v>
      </c>
      <c r="K5" s="33">
        <v>9.49</v>
      </c>
      <c r="L5" s="35">
        <f>P2*(K5^2)/(2*PI())
</f>
        <v>140.611734</v>
      </c>
      <c r="M5" s="36">
        <v>1016.126427</v>
      </c>
      <c r="N5" s="36">
        <v>17.15778073</v>
      </c>
      <c r="O5" s="37">
        <f t="shared" si="2"/>
        <v>0.02761361792</v>
      </c>
      <c r="P5" s="35"/>
      <c r="Q5" s="37"/>
      <c r="R5" s="37"/>
      <c r="S5" s="37"/>
      <c r="T5" s="37">
        <f t="shared" ref="T5:U5" si="6">1.1*(0.35*$Q$2*SQRT(G5*($P$2*(I5^2)/(2*PI()))) + (SQRT(G5*($P$2*(I5^2)/(2*PI()))*(0.563*$Q$2^2+0.004))/2))</f>
        <v>0.07291390581</v>
      </c>
      <c r="U5" s="37">
        <f t="shared" si="6"/>
        <v>0.7760330474</v>
      </c>
      <c r="V5" s="38">
        <f t="shared" si="4"/>
        <v>3.553815924</v>
      </c>
    </row>
    <row r="6">
      <c r="A6" s="23"/>
      <c r="B6" s="33" t="s">
        <v>27</v>
      </c>
      <c r="C6" s="34">
        <v>6.8548582</v>
      </c>
      <c r="D6" s="34">
        <v>9.752</v>
      </c>
      <c r="E6" s="34">
        <v>0.0</v>
      </c>
      <c r="F6" s="34">
        <v>1.4787333</v>
      </c>
      <c r="G6" s="33">
        <v>0.807861305328044</v>
      </c>
      <c r="H6" s="33">
        <v>3.678</v>
      </c>
      <c r="I6" s="33">
        <v>0.654</v>
      </c>
      <c r="J6" s="33">
        <v>3.58174253017893</v>
      </c>
      <c r="K6" s="33">
        <v>10.53</v>
      </c>
      <c r="L6" s="35">
        <f>P2*(K6^2)/(2*PI())
</f>
        <v>173.1194571</v>
      </c>
      <c r="M6" s="36">
        <v>1016.373423</v>
      </c>
      <c r="N6" s="36">
        <v>16.34109852</v>
      </c>
      <c r="O6" s="37">
        <f t="shared" si="2"/>
        <v>0.01967207017</v>
      </c>
      <c r="P6" s="35"/>
      <c r="Q6" s="37"/>
      <c r="R6" s="37"/>
      <c r="S6" s="37"/>
      <c r="T6" s="37">
        <f t="shared" ref="T6:U6" si="7">1.1*(0.35*$Q$2*SQRT(G6*($P$2*(I6^2)/(2*PI()))) + (SQRT(G6*($P$2*(I6^2)/(2*PI()))*(0.563*$Q$2^2+0.004))/2))</f>
        <v>0.06792118358</v>
      </c>
      <c r="U6" s="37">
        <f t="shared" si="7"/>
        <v>0.793705372</v>
      </c>
      <c r="V6" s="38">
        <f t="shared" si="4"/>
        <v>3.515022354</v>
      </c>
    </row>
    <row r="7">
      <c r="A7" s="23"/>
      <c r="B7" s="39" t="s">
        <v>28</v>
      </c>
      <c r="C7" s="34">
        <v>6.6881423</v>
      </c>
      <c r="D7" s="34">
        <v>9.958</v>
      </c>
      <c r="E7" s="34">
        <v>2.606</v>
      </c>
      <c r="F7" s="34">
        <v>1.5211849</v>
      </c>
      <c r="G7" s="33">
        <v>0.846373299221015</v>
      </c>
      <c r="H7" s="33">
        <v>4.05600023269653</v>
      </c>
      <c r="I7" s="33">
        <v>0.688</v>
      </c>
      <c r="J7" s="33">
        <v>3.59749623582178</v>
      </c>
      <c r="K7" s="33">
        <v>10.039999961853</v>
      </c>
      <c r="L7" s="35">
        <f>P2*(K7^2)/(2*PI())
</f>
        <v>157.3825441</v>
      </c>
      <c r="M7" s="36">
        <v>1016.908614</v>
      </c>
      <c r="N7" s="36">
        <v>16.31816324</v>
      </c>
      <c r="O7" s="37">
        <f t="shared" si="2"/>
        <v>0.01417035031</v>
      </c>
      <c r="P7" s="35"/>
      <c r="Q7" s="37"/>
      <c r="R7" s="37"/>
      <c r="S7" s="37"/>
      <c r="T7" s="37">
        <f t="shared" ref="T7:U7" si="8">1.1*(0.35*$Q$2*SQRT(G7*($P$2*(I7^2)/(2*PI()))) + (SQRT(G7*($P$2*(I7^2)/(2*PI()))*(0.563*$Q$2^2+0.004))/2))</f>
        <v>0.07313554612</v>
      </c>
      <c r="U7" s="37">
        <f t="shared" si="8"/>
        <v>0.8371599189</v>
      </c>
      <c r="V7" s="38">
        <f t="shared" si="4"/>
        <v>3.431377046</v>
      </c>
    </row>
    <row r="8">
      <c r="B8" s="23"/>
    </row>
    <row r="9">
      <c r="B9" s="23"/>
    </row>
    <row r="10">
      <c r="B10" s="23"/>
    </row>
    <row r="11">
      <c r="A11" s="40" t="s">
        <v>52</v>
      </c>
      <c r="B11" s="40" t="s">
        <v>53</v>
      </c>
      <c r="C11" s="41" t="s">
        <v>54</v>
      </c>
      <c r="D11" s="41" t="s">
        <v>55</v>
      </c>
      <c r="E11" s="42" t="s">
        <v>56</v>
      </c>
      <c r="F11" s="42" t="s">
        <v>57</v>
      </c>
      <c r="G11" s="42" t="s">
        <v>58</v>
      </c>
      <c r="H11" s="43" t="s">
        <v>59</v>
      </c>
      <c r="J11" s="44" t="s">
        <v>60</v>
      </c>
    </row>
    <row r="12">
      <c r="A12" s="45">
        <v>1.0</v>
      </c>
      <c r="B12" s="45" t="s">
        <v>61</v>
      </c>
      <c r="C12" s="46">
        <v>100.0</v>
      </c>
      <c r="D12" s="46">
        <v>150.0</v>
      </c>
      <c r="E12" s="47">
        <f t="shared" ref="E12:E17" si="10">C2/AVERAGE(C12,D12)</f>
        <v>0.0538002136</v>
      </c>
      <c r="F12" s="47">
        <f t="shared" ref="F12:F17" si="11">D2/AVERAGE(C12,D12)</f>
        <v>0.07472</v>
      </c>
      <c r="G12" s="48">
        <f t="shared" ref="G12:H12" si="9">TAN(E12)</f>
        <v>0.05385218134</v>
      </c>
      <c r="H12" s="49">
        <f t="shared" si="9"/>
        <v>0.07485936712</v>
      </c>
    </row>
    <row r="13">
      <c r="A13" s="45">
        <v>2.0</v>
      </c>
      <c r="B13" s="45" t="s">
        <v>62</v>
      </c>
      <c r="C13" s="46">
        <v>150.0</v>
      </c>
      <c r="D13" s="46">
        <v>180.0</v>
      </c>
      <c r="E13" s="47">
        <f t="shared" si="10"/>
        <v>0.03810641758</v>
      </c>
      <c r="F13" s="47">
        <f t="shared" si="11"/>
        <v>0.05957575758</v>
      </c>
      <c r="G13" s="48">
        <f t="shared" ref="G13:H13" si="12">TAN(E13)</f>
        <v>0.03812487306</v>
      </c>
      <c r="H13" s="49">
        <f t="shared" si="12"/>
        <v>0.05964634129</v>
      </c>
    </row>
    <row r="14">
      <c r="A14" s="45">
        <v>3.0</v>
      </c>
      <c r="B14" s="45" t="s">
        <v>63</v>
      </c>
      <c r="C14" s="46">
        <v>180.0</v>
      </c>
      <c r="D14" s="46">
        <v>220.0</v>
      </c>
      <c r="E14" s="47">
        <f t="shared" si="10"/>
        <v>0.0336402785</v>
      </c>
      <c r="F14" s="47">
        <f t="shared" si="11"/>
        <v>0.04935</v>
      </c>
      <c r="G14" s="48">
        <f t="shared" ref="G14:H14" si="13">TAN(E14)</f>
        <v>0.03365297413</v>
      </c>
      <c r="H14" s="49">
        <f t="shared" si="13"/>
        <v>0.04939010177</v>
      </c>
    </row>
    <row r="15">
      <c r="A15" s="45">
        <v>4.0</v>
      </c>
      <c r="B15" s="45" t="s">
        <v>64</v>
      </c>
      <c r="C15" s="46">
        <v>220.0</v>
      </c>
      <c r="D15" s="46">
        <v>250.0</v>
      </c>
      <c r="E15" s="47">
        <f t="shared" si="10"/>
        <v>0.02938968851</v>
      </c>
      <c r="F15" s="47">
        <f t="shared" si="11"/>
        <v>0.04176595745</v>
      </c>
      <c r="G15" s="48">
        <f t="shared" ref="G15:H15" si="14">TAN(E15)</f>
        <v>0.02939815325</v>
      </c>
      <c r="H15" s="49">
        <f t="shared" si="14"/>
        <v>0.04179025985</v>
      </c>
    </row>
    <row r="16">
      <c r="A16" s="45">
        <v>5.0</v>
      </c>
      <c r="B16" s="45" t="s">
        <v>65</v>
      </c>
      <c r="C16" s="46">
        <v>250.0</v>
      </c>
      <c r="D16" s="46">
        <v>300.0</v>
      </c>
      <c r="E16" s="47">
        <f t="shared" si="10"/>
        <v>0.02492675709</v>
      </c>
      <c r="F16" s="47">
        <f t="shared" si="11"/>
        <v>0.03546181818</v>
      </c>
      <c r="G16" s="48">
        <f t="shared" ref="G16:H16" si="15">TAN(E16)</f>
        <v>0.02493192106</v>
      </c>
      <c r="H16" s="49">
        <f t="shared" si="15"/>
        <v>0.03547669055</v>
      </c>
    </row>
    <row r="17">
      <c r="A17" s="45">
        <v>6.0</v>
      </c>
      <c r="B17" s="45" t="s">
        <v>66</v>
      </c>
      <c r="C17" s="46">
        <v>300.0</v>
      </c>
      <c r="D17" s="46">
        <v>350.0</v>
      </c>
      <c r="E17" s="47">
        <f t="shared" si="10"/>
        <v>0.02057889938</v>
      </c>
      <c r="F17" s="47">
        <f t="shared" si="11"/>
        <v>0.03064</v>
      </c>
      <c r="G17" s="48">
        <f t="shared" ref="G17:H17" si="16">TAN(E17)</f>
        <v>0.02058180487</v>
      </c>
      <c r="H17" s="49">
        <f t="shared" si="16"/>
        <v>0.03064959198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50" t="s">
        <v>67</v>
      </c>
      <c r="B1" s="50" t="s">
        <v>68</v>
      </c>
      <c r="C1" s="50" t="s">
        <v>69</v>
      </c>
      <c r="D1" s="50" t="s">
        <v>70</v>
      </c>
      <c r="E1" s="50" t="s">
        <v>71</v>
      </c>
    </row>
    <row r="2" ht="15.75" customHeight="1">
      <c r="A2" s="51" t="s">
        <v>72</v>
      </c>
      <c r="B2" s="51" t="s">
        <v>73</v>
      </c>
      <c r="C2" s="51" t="s">
        <v>74</v>
      </c>
      <c r="D2" s="51">
        <v>18318.0</v>
      </c>
      <c r="E2" s="51">
        <v>6393078.0</v>
      </c>
    </row>
    <row r="3" ht="15.75" customHeight="1">
      <c r="A3" s="51" t="s">
        <v>75</v>
      </c>
      <c r="B3" s="51" t="s">
        <v>76</v>
      </c>
      <c r="C3" s="51" t="s">
        <v>77</v>
      </c>
      <c r="D3" s="51">
        <v>18848.0</v>
      </c>
      <c r="E3" s="51">
        <v>6396091.0</v>
      </c>
    </row>
    <row r="4" ht="15.75" customHeight="1">
      <c r="A4" s="51" t="s">
        <v>78</v>
      </c>
      <c r="B4" s="51" t="s">
        <v>79</v>
      </c>
      <c r="C4" s="51" t="s">
        <v>80</v>
      </c>
      <c r="D4" s="51">
        <v>44633.0</v>
      </c>
      <c r="E4" s="51">
        <v>6412293.0</v>
      </c>
    </row>
    <row r="5" ht="15.75" customHeight="1">
      <c r="A5" s="51" t="s">
        <v>72</v>
      </c>
      <c r="B5" s="51" t="s">
        <v>73</v>
      </c>
      <c r="C5" s="51" t="s">
        <v>81</v>
      </c>
      <c r="D5" s="51">
        <v>43326.0</v>
      </c>
      <c r="E5" s="51">
        <v>6407943.0</v>
      </c>
    </row>
    <row r="6" ht="15.75" customHeight="1">
      <c r="A6" s="51" t="s">
        <v>75</v>
      </c>
      <c r="B6" s="51" t="s">
        <v>76</v>
      </c>
      <c r="C6" s="51" t="s">
        <v>82</v>
      </c>
      <c r="D6" s="51">
        <v>48654.0</v>
      </c>
      <c r="E6" s="51">
        <v>6412715.0</v>
      </c>
    </row>
    <row r="7" ht="15.75" customHeight="1">
      <c r="A7" s="51" t="s">
        <v>83</v>
      </c>
      <c r="B7" s="51" t="s">
        <v>84</v>
      </c>
      <c r="C7" s="51" t="s">
        <v>85</v>
      </c>
      <c r="D7" s="51">
        <v>31460.0</v>
      </c>
      <c r="E7" s="51">
        <v>6406555.0</v>
      </c>
    </row>
    <row r="8" ht="15.75" customHeight="1">
      <c r="A8" s="51" t="s">
        <v>83</v>
      </c>
      <c r="B8" s="51" t="s">
        <v>84</v>
      </c>
      <c r="C8" s="51" t="s">
        <v>86</v>
      </c>
      <c r="D8" s="51">
        <v>83399.0</v>
      </c>
      <c r="E8" s="51">
        <v>6429472.0</v>
      </c>
    </row>
    <row r="9" ht="15.75" customHeight="1">
      <c r="A9" s="51" t="s">
        <v>87</v>
      </c>
      <c r="B9" s="51" t="s">
        <v>88</v>
      </c>
      <c r="C9" s="51" t="s">
        <v>89</v>
      </c>
      <c r="D9" s="51">
        <v>110615.0</v>
      </c>
      <c r="E9" s="51">
        <v>6438777.0</v>
      </c>
    </row>
    <row r="10" ht="15.75" customHeight="1">
      <c r="A10" s="51" t="s">
        <v>75</v>
      </c>
      <c r="B10" s="51" t="s">
        <v>76</v>
      </c>
      <c r="C10" s="51" t="s">
        <v>90</v>
      </c>
      <c r="D10" s="51">
        <v>137021.0</v>
      </c>
      <c r="E10" s="51">
        <v>6447778.0</v>
      </c>
    </row>
    <row r="11" ht="15.75" customHeight="1">
      <c r="A11" s="51" t="s">
        <v>78</v>
      </c>
      <c r="B11" s="51" t="s">
        <v>79</v>
      </c>
      <c r="C11" s="51" t="s">
        <v>91</v>
      </c>
      <c r="D11" s="51">
        <v>136112.0</v>
      </c>
      <c r="E11" s="51">
        <v>6449061.0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4.0"/>
    <col customWidth="1" min="3" max="3" width="27.0"/>
    <col customWidth="1" min="4" max="4" width="18.5"/>
    <col customWidth="1" min="5" max="5" width="20.63"/>
    <col customWidth="1" min="6" max="6" width="15.25"/>
    <col customWidth="1" min="7" max="7" width="15.5"/>
    <col customWidth="1" min="9" max="9" width="15.5"/>
    <col customWidth="1" min="10" max="11" width="24.88"/>
    <col customWidth="1" min="12" max="12" width="19.75"/>
  </cols>
  <sheetData>
    <row r="1" ht="15.75" customHeight="1">
      <c r="A1" s="50" t="s">
        <v>92</v>
      </c>
      <c r="B1" s="50" t="s">
        <v>93</v>
      </c>
      <c r="C1" s="50" t="s">
        <v>94</v>
      </c>
      <c r="D1" s="50" t="s">
        <v>95</v>
      </c>
      <c r="E1" s="50" t="s">
        <v>96</v>
      </c>
      <c r="F1" s="50" t="s">
        <v>97</v>
      </c>
      <c r="G1" s="50" t="s">
        <v>98</v>
      </c>
      <c r="H1" s="50" t="s">
        <v>99</v>
      </c>
      <c r="I1" s="50" t="s">
        <v>100</v>
      </c>
      <c r="J1" s="52" t="s">
        <v>101</v>
      </c>
      <c r="K1" s="52" t="s">
        <v>102</v>
      </c>
      <c r="L1" s="50" t="s">
        <v>103</v>
      </c>
      <c r="M1" s="50" t="s">
        <v>104</v>
      </c>
      <c r="N1" s="50" t="s">
        <v>105</v>
      </c>
      <c r="O1" s="50" t="s">
        <v>106</v>
      </c>
    </row>
    <row r="2" ht="15.75" customHeight="1">
      <c r="A2" s="53">
        <v>1.0</v>
      </c>
      <c r="B2" s="51">
        <v>29.0</v>
      </c>
      <c r="C2" s="51" t="s">
        <v>107</v>
      </c>
      <c r="D2" s="51">
        <v>6.0</v>
      </c>
      <c r="E2" s="51" t="s">
        <v>108</v>
      </c>
      <c r="F2" s="51">
        <v>5.0</v>
      </c>
      <c r="G2" s="51">
        <v>10.0</v>
      </c>
      <c r="H2" s="51">
        <v>0.1333333333</v>
      </c>
      <c r="I2" s="51">
        <v>133.3333333</v>
      </c>
      <c r="J2" s="51">
        <f> AVERAGE(I2,I3,I4,I5)</f>
        <v>87.49999999</v>
      </c>
      <c r="K2" s="51">
        <f>AVERAGE(I6,I7,I8,I9,I10)</f>
        <v>64.66666666</v>
      </c>
      <c r="L2" s="51">
        <v>140.0</v>
      </c>
      <c r="M2" s="51" t="s">
        <v>61</v>
      </c>
      <c r="N2" s="51">
        <v>29.0</v>
      </c>
      <c r="O2" s="51">
        <v>1.0</v>
      </c>
    </row>
    <row r="3" ht="15.75" customHeight="1">
      <c r="A3" s="53">
        <v>1.0</v>
      </c>
      <c r="B3" s="51">
        <v>29.0</v>
      </c>
      <c r="C3" s="51" t="s">
        <v>109</v>
      </c>
      <c r="D3" s="51">
        <v>6.0</v>
      </c>
      <c r="E3" s="51" t="s">
        <v>108</v>
      </c>
      <c r="F3" s="51">
        <v>10.0</v>
      </c>
      <c r="G3" s="51">
        <v>15.0</v>
      </c>
      <c r="H3" s="51">
        <v>0.1</v>
      </c>
      <c r="I3" s="51">
        <v>100.0</v>
      </c>
      <c r="J3" s="54"/>
      <c r="K3" s="54"/>
      <c r="L3" s="54"/>
      <c r="M3" s="51" t="s">
        <v>62</v>
      </c>
      <c r="N3" s="51">
        <v>22.0</v>
      </c>
      <c r="O3" s="51">
        <v>2.0</v>
      </c>
    </row>
    <row r="4" ht="15.75" customHeight="1">
      <c r="A4" s="53">
        <v>1.0</v>
      </c>
      <c r="B4" s="51">
        <v>29.0</v>
      </c>
      <c r="C4" s="51" t="s">
        <v>110</v>
      </c>
      <c r="D4" s="51">
        <v>8.0</v>
      </c>
      <c r="E4" s="51" t="s">
        <v>108</v>
      </c>
      <c r="F4" s="51">
        <v>15.0</v>
      </c>
      <c r="G4" s="51">
        <v>20.0</v>
      </c>
      <c r="H4" s="51">
        <v>0.06666666667</v>
      </c>
      <c r="I4" s="51">
        <v>66.66666667</v>
      </c>
      <c r="J4" s="54"/>
      <c r="K4" s="54"/>
      <c r="L4" s="54"/>
      <c r="M4" s="51" t="s">
        <v>111</v>
      </c>
      <c r="N4" s="51">
        <v>11.0</v>
      </c>
      <c r="O4" s="51">
        <v>3.0</v>
      </c>
    </row>
    <row r="5" ht="15.75" customHeight="1">
      <c r="A5" s="53">
        <v>1.0</v>
      </c>
      <c r="B5" s="51">
        <v>29.0</v>
      </c>
      <c r="C5" s="51" t="s">
        <v>112</v>
      </c>
      <c r="D5" s="51">
        <v>9.0</v>
      </c>
      <c r="E5" s="51" t="s">
        <v>108</v>
      </c>
      <c r="F5" s="51">
        <v>20.0</v>
      </c>
      <c r="G5" s="51">
        <v>25.0</v>
      </c>
      <c r="H5" s="51">
        <v>0.05</v>
      </c>
      <c r="I5" s="51">
        <v>50.0</v>
      </c>
      <c r="J5" s="54"/>
      <c r="K5" s="54"/>
      <c r="L5" s="54"/>
      <c r="M5" s="51" t="s">
        <v>113</v>
      </c>
      <c r="N5" s="51">
        <v>36.0</v>
      </c>
      <c r="O5" s="51">
        <v>4.0</v>
      </c>
    </row>
    <row r="6" ht="15.75" customHeight="1">
      <c r="A6" s="53">
        <v>1.0</v>
      </c>
      <c r="B6" s="51">
        <v>29.0</v>
      </c>
      <c r="C6" s="51" t="s">
        <v>107</v>
      </c>
      <c r="D6" s="51">
        <v>5.5</v>
      </c>
      <c r="E6" s="51" t="s">
        <v>114</v>
      </c>
      <c r="F6" s="51">
        <v>10.0</v>
      </c>
      <c r="G6" s="51">
        <v>15.0</v>
      </c>
      <c r="H6" s="51">
        <v>0.1333333333</v>
      </c>
      <c r="I6" s="51">
        <f>H6*1000</f>
        <v>133.3333333</v>
      </c>
      <c r="J6" s="54"/>
      <c r="K6" s="54"/>
      <c r="L6" s="54"/>
      <c r="M6" s="51" t="s">
        <v>65</v>
      </c>
      <c r="N6" s="51">
        <v>20.0</v>
      </c>
      <c r="O6" s="51">
        <v>5.0</v>
      </c>
    </row>
    <row r="7" ht="15.75" customHeight="1">
      <c r="A7" s="53">
        <v>1.0</v>
      </c>
      <c r="B7" s="51">
        <v>29.0</v>
      </c>
      <c r="C7" s="51" t="s">
        <v>109</v>
      </c>
      <c r="D7" s="51">
        <v>4.5</v>
      </c>
      <c r="E7" s="51" t="s">
        <v>114</v>
      </c>
      <c r="F7" s="51">
        <v>15.0</v>
      </c>
      <c r="G7" s="51">
        <v>20.0</v>
      </c>
      <c r="H7" s="51">
        <v>0.06666666667</v>
      </c>
      <c r="I7" s="51">
        <v>66.66666667</v>
      </c>
      <c r="J7" s="54"/>
      <c r="K7" s="54"/>
      <c r="L7" s="54"/>
      <c r="M7" s="51" t="s">
        <v>66</v>
      </c>
      <c r="N7" s="51">
        <v>22.0</v>
      </c>
      <c r="O7" s="51">
        <v>6.0</v>
      </c>
    </row>
    <row r="8" ht="15.75" customHeight="1">
      <c r="A8" s="53">
        <v>1.0</v>
      </c>
      <c r="B8" s="51">
        <v>29.0</v>
      </c>
      <c r="C8" s="51" t="s">
        <v>110</v>
      </c>
      <c r="D8" s="51">
        <v>6.0</v>
      </c>
      <c r="E8" s="51" t="s">
        <v>114</v>
      </c>
      <c r="F8" s="51">
        <v>20.0</v>
      </c>
      <c r="G8" s="51">
        <v>25.0</v>
      </c>
      <c r="H8" s="51">
        <v>0.05</v>
      </c>
      <c r="I8" s="51">
        <v>50.0</v>
      </c>
      <c r="J8" s="54"/>
      <c r="K8" s="54"/>
      <c r="L8" s="54"/>
      <c r="M8" s="54"/>
      <c r="N8" s="54"/>
      <c r="O8" s="54"/>
    </row>
    <row r="9" ht="15.75" customHeight="1">
      <c r="A9" s="53">
        <v>1.0</v>
      </c>
      <c r="B9" s="51">
        <v>29.0</v>
      </c>
      <c r="C9" s="51" t="s">
        <v>115</v>
      </c>
      <c r="D9" s="51">
        <v>7.0</v>
      </c>
      <c r="E9" s="51" t="s">
        <v>114</v>
      </c>
      <c r="F9" s="51">
        <v>25.0</v>
      </c>
      <c r="G9" s="51">
        <v>30.0</v>
      </c>
      <c r="H9" s="51">
        <v>0.04</v>
      </c>
      <c r="I9" s="51">
        <v>40.0</v>
      </c>
      <c r="J9" s="54"/>
      <c r="K9" s="54"/>
      <c r="L9" s="54"/>
      <c r="M9" s="54"/>
      <c r="N9" s="54"/>
      <c r="O9" s="54"/>
    </row>
    <row r="10" ht="15.75" customHeight="1">
      <c r="A10" s="53">
        <v>1.0</v>
      </c>
      <c r="B10" s="51">
        <v>29.0</v>
      </c>
      <c r="C10" s="51" t="s">
        <v>116</v>
      </c>
      <c r="D10" s="51">
        <v>6.0</v>
      </c>
      <c r="E10" s="51" t="s">
        <v>114</v>
      </c>
      <c r="F10" s="51">
        <v>30.0</v>
      </c>
      <c r="G10" s="51">
        <v>50.0</v>
      </c>
      <c r="H10" s="51">
        <v>0.03333333333</v>
      </c>
      <c r="I10" s="51">
        <v>33.33333333</v>
      </c>
      <c r="J10" s="54"/>
      <c r="K10" s="54"/>
      <c r="L10" s="54"/>
      <c r="M10" s="54"/>
      <c r="N10" s="54"/>
      <c r="O10" s="54"/>
    </row>
    <row r="11" ht="15.75" customHeight="1">
      <c r="A11" s="53">
        <v>2.0</v>
      </c>
      <c r="B11" s="51">
        <v>22.0</v>
      </c>
      <c r="C11" s="51" t="s">
        <v>117</v>
      </c>
      <c r="D11" s="51">
        <v>4.5</v>
      </c>
      <c r="E11" s="51" t="s">
        <v>108</v>
      </c>
      <c r="F11" s="51">
        <v>15.0</v>
      </c>
      <c r="G11" s="51">
        <v>20.0</v>
      </c>
      <c r="H11" s="51">
        <v>0.06666666667</v>
      </c>
      <c r="I11" s="51">
        <v>66.66666667</v>
      </c>
      <c r="J11" s="54">
        <f>AVERAGE(I11,I12,I13,I14,I15)</f>
        <v>43</v>
      </c>
      <c r="K11" s="54">
        <f>AVERAGE(I16,I17,I18,I19,I20,I21,I22,I23)</f>
        <v>45.44642857</v>
      </c>
      <c r="L11" s="54"/>
      <c r="M11" s="54"/>
      <c r="N11" s="54"/>
      <c r="O11" s="54"/>
    </row>
    <row r="12" ht="15.75" customHeight="1">
      <c r="A12" s="53">
        <v>2.0</v>
      </c>
      <c r="B12" s="51">
        <v>22.0</v>
      </c>
      <c r="C12" s="51" t="s">
        <v>118</v>
      </c>
      <c r="D12" s="51">
        <v>4.5</v>
      </c>
      <c r="E12" s="51" t="s">
        <v>108</v>
      </c>
      <c r="F12" s="51">
        <v>20.0</v>
      </c>
      <c r="G12" s="51">
        <v>25.0</v>
      </c>
      <c r="H12" s="51">
        <v>0.05</v>
      </c>
      <c r="I12" s="51">
        <v>50.0</v>
      </c>
      <c r="J12" s="54"/>
      <c r="K12" s="54"/>
      <c r="L12" s="54"/>
      <c r="M12" s="54"/>
      <c r="N12" s="54"/>
      <c r="O12" s="54"/>
    </row>
    <row r="13" ht="15.75" customHeight="1">
      <c r="A13" s="53">
        <v>2.0</v>
      </c>
      <c r="B13" s="51">
        <v>22.0</v>
      </c>
      <c r="C13" s="51" t="s">
        <v>119</v>
      </c>
      <c r="D13" s="51">
        <v>4.0</v>
      </c>
      <c r="E13" s="51" t="s">
        <v>108</v>
      </c>
      <c r="F13" s="51">
        <v>25.0</v>
      </c>
      <c r="G13" s="51">
        <v>30.0</v>
      </c>
      <c r="H13" s="51">
        <v>0.04</v>
      </c>
      <c r="I13" s="51">
        <v>40.0</v>
      </c>
      <c r="J13" s="54"/>
      <c r="K13" s="54"/>
      <c r="L13" s="54"/>
      <c r="M13" s="54"/>
      <c r="N13" s="54"/>
      <c r="O13" s="54"/>
    </row>
    <row r="14" ht="15.75" customHeight="1">
      <c r="A14" s="53">
        <v>2.0</v>
      </c>
      <c r="B14" s="51">
        <v>22.0</v>
      </c>
      <c r="C14" s="51" t="s">
        <v>120</v>
      </c>
      <c r="D14" s="51">
        <v>4.5</v>
      </c>
      <c r="E14" s="51" t="s">
        <v>108</v>
      </c>
      <c r="F14" s="51">
        <v>30.0</v>
      </c>
      <c r="G14" s="51">
        <v>40.0</v>
      </c>
      <c r="H14" s="51">
        <v>0.03333333333</v>
      </c>
      <c r="I14" s="51">
        <v>33.33333333</v>
      </c>
      <c r="J14" s="54"/>
      <c r="K14" s="54"/>
      <c r="L14" s="54"/>
      <c r="M14" s="54"/>
      <c r="N14" s="54"/>
      <c r="O14" s="54"/>
    </row>
    <row r="15" ht="15.75" customHeight="1">
      <c r="A15" s="53">
        <v>2.0</v>
      </c>
      <c r="B15" s="51">
        <v>22.0</v>
      </c>
      <c r="C15" s="51" t="s">
        <v>121</v>
      </c>
      <c r="D15" s="51">
        <v>4.5</v>
      </c>
      <c r="E15" s="51" t="s">
        <v>108</v>
      </c>
      <c r="F15" s="51">
        <v>40.0</v>
      </c>
      <c r="G15" s="51">
        <v>50.0</v>
      </c>
      <c r="H15" s="51">
        <v>0.025</v>
      </c>
      <c r="I15" s="51">
        <v>25.0</v>
      </c>
      <c r="J15" s="54"/>
      <c r="K15" s="54"/>
      <c r="L15" s="54"/>
      <c r="M15" s="54"/>
      <c r="N15" s="54"/>
      <c r="O15" s="54"/>
    </row>
    <row r="16" ht="15.75" customHeight="1">
      <c r="A16" s="53">
        <v>2.0</v>
      </c>
      <c r="B16" s="51">
        <v>22.0</v>
      </c>
      <c r="C16" s="51" t="s">
        <v>117</v>
      </c>
      <c r="D16" s="51">
        <v>2.5</v>
      </c>
      <c r="E16" s="51" t="s">
        <v>114</v>
      </c>
      <c r="F16" s="51">
        <v>10.0</v>
      </c>
      <c r="G16" s="51">
        <v>15.0</v>
      </c>
      <c r="H16" s="51">
        <v>0.1</v>
      </c>
      <c r="I16" s="51">
        <v>100.0</v>
      </c>
      <c r="J16" s="54"/>
      <c r="K16" s="54"/>
      <c r="L16" s="54"/>
      <c r="M16" s="54"/>
      <c r="N16" s="54"/>
      <c r="O16" s="54"/>
    </row>
    <row r="17" ht="15.75" customHeight="1">
      <c r="A17" s="53">
        <v>2.0</v>
      </c>
      <c r="B17" s="51">
        <v>22.0</v>
      </c>
      <c r="C17" s="51" t="s">
        <v>122</v>
      </c>
      <c r="D17" s="51">
        <v>2.5</v>
      </c>
      <c r="E17" s="51" t="s">
        <v>114</v>
      </c>
      <c r="F17" s="51">
        <v>15.0</v>
      </c>
      <c r="G17" s="51">
        <v>20.0</v>
      </c>
      <c r="H17" s="51">
        <v>0.06666666667</v>
      </c>
      <c r="I17" s="51">
        <v>66.66666667</v>
      </c>
      <c r="J17" s="54"/>
      <c r="K17" s="54"/>
      <c r="L17" s="54"/>
      <c r="M17" s="54"/>
      <c r="N17" s="54"/>
      <c r="O17" s="54"/>
    </row>
    <row r="18" ht="15.75" customHeight="1">
      <c r="A18" s="53">
        <v>2.0</v>
      </c>
      <c r="B18" s="51">
        <v>22.0</v>
      </c>
      <c r="C18" s="51" t="s">
        <v>120</v>
      </c>
      <c r="D18" s="51">
        <v>3.0</v>
      </c>
      <c r="E18" s="51" t="s">
        <v>114</v>
      </c>
      <c r="F18" s="51">
        <v>20.0</v>
      </c>
      <c r="G18" s="51">
        <v>25.0</v>
      </c>
      <c r="H18" s="51">
        <v>0.05</v>
      </c>
      <c r="I18" s="51">
        <v>50.0</v>
      </c>
      <c r="J18" s="54"/>
      <c r="K18" s="54"/>
      <c r="L18" s="54"/>
      <c r="M18" s="54"/>
      <c r="N18" s="54"/>
      <c r="O18" s="54"/>
    </row>
    <row r="19" ht="15.75" customHeight="1">
      <c r="A19" s="53">
        <v>2.0</v>
      </c>
      <c r="B19" s="51">
        <v>22.0</v>
      </c>
      <c r="C19" s="51" t="s">
        <v>123</v>
      </c>
      <c r="D19" s="51">
        <v>3.0</v>
      </c>
      <c r="E19" s="51" t="s">
        <v>114</v>
      </c>
      <c r="F19" s="51">
        <v>25.0</v>
      </c>
      <c r="G19" s="51">
        <v>30.0</v>
      </c>
      <c r="H19" s="51">
        <v>0.04</v>
      </c>
      <c r="I19" s="51">
        <v>40.0</v>
      </c>
      <c r="J19" s="54"/>
      <c r="K19" s="54"/>
      <c r="L19" s="54"/>
      <c r="M19" s="54"/>
      <c r="N19" s="54"/>
      <c r="O19" s="54"/>
    </row>
    <row r="20" ht="15.75" customHeight="1">
      <c r="A20" s="53">
        <v>2.0</v>
      </c>
      <c r="B20" s="51">
        <v>22.0</v>
      </c>
      <c r="C20" s="51" t="s">
        <v>124</v>
      </c>
      <c r="D20" s="51">
        <v>3.0</v>
      </c>
      <c r="E20" s="51" t="s">
        <v>114</v>
      </c>
      <c r="F20" s="51">
        <v>30.0</v>
      </c>
      <c r="G20" s="51">
        <v>35.0</v>
      </c>
      <c r="H20" s="51">
        <v>0.03333333333</v>
      </c>
      <c r="I20" s="51">
        <v>33.33333333</v>
      </c>
      <c r="J20" s="54"/>
      <c r="K20" s="54"/>
      <c r="L20" s="54"/>
      <c r="M20" s="54"/>
      <c r="N20" s="54"/>
      <c r="O20" s="54"/>
    </row>
    <row r="21" ht="15.75" customHeight="1">
      <c r="A21" s="53">
        <v>2.0</v>
      </c>
      <c r="B21" s="51">
        <v>22.0</v>
      </c>
      <c r="C21" s="51" t="s">
        <v>125</v>
      </c>
      <c r="D21" s="51">
        <v>3.0</v>
      </c>
      <c r="E21" s="51" t="s">
        <v>114</v>
      </c>
      <c r="F21" s="51">
        <v>35.0</v>
      </c>
      <c r="G21" s="51">
        <v>40.0</v>
      </c>
      <c r="H21" s="51">
        <v>0.02857142857</v>
      </c>
      <c r="I21" s="51">
        <v>28.57142857</v>
      </c>
      <c r="J21" s="54"/>
      <c r="K21" s="54"/>
      <c r="L21" s="54"/>
      <c r="M21" s="54"/>
      <c r="N21" s="54"/>
      <c r="O21" s="54"/>
    </row>
    <row r="22" ht="15.75" customHeight="1">
      <c r="A22" s="53">
        <v>2.0</v>
      </c>
      <c r="B22" s="51">
        <v>22.0</v>
      </c>
      <c r="C22" s="51" t="s">
        <v>126</v>
      </c>
      <c r="D22" s="51">
        <v>2.5</v>
      </c>
      <c r="E22" s="51" t="s">
        <v>114</v>
      </c>
      <c r="F22" s="51">
        <v>40.0</v>
      </c>
      <c r="G22" s="51">
        <v>50.0</v>
      </c>
      <c r="H22" s="51">
        <v>0.025</v>
      </c>
      <c r="I22" s="51">
        <v>25.0</v>
      </c>
      <c r="J22" s="54"/>
      <c r="K22" s="54"/>
      <c r="L22" s="54"/>
      <c r="M22" s="54"/>
      <c r="N22" s="54"/>
      <c r="O22" s="54"/>
    </row>
    <row r="23" ht="15.75" customHeight="1">
      <c r="A23" s="53">
        <v>2.0</v>
      </c>
      <c r="B23" s="51">
        <v>22.0</v>
      </c>
      <c r="C23" s="51" t="s">
        <v>127</v>
      </c>
      <c r="D23" s="51">
        <v>2.5</v>
      </c>
      <c r="E23" s="51" t="s">
        <v>114</v>
      </c>
      <c r="F23" s="51">
        <v>50.0</v>
      </c>
      <c r="G23" s="51">
        <v>60.0</v>
      </c>
      <c r="H23" s="51">
        <v>0.02</v>
      </c>
      <c r="I23" s="51">
        <v>20.0</v>
      </c>
      <c r="J23" s="54"/>
      <c r="K23" s="54"/>
      <c r="L23" s="54"/>
      <c r="M23" s="54"/>
      <c r="N23" s="54"/>
      <c r="O23" s="54"/>
    </row>
    <row r="24" ht="15.75" customHeight="1">
      <c r="A24" s="53">
        <v>3.0</v>
      </c>
      <c r="B24" s="51">
        <v>11.0</v>
      </c>
      <c r="C24" s="51" t="s">
        <v>128</v>
      </c>
      <c r="D24" s="51">
        <v>5.5</v>
      </c>
      <c r="E24" s="51" t="s">
        <v>108</v>
      </c>
      <c r="F24" s="51">
        <v>20.0</v>
      </c>
      <c r="G24" s="51">
        <v>25.0</v>
      </c>
      <c r="H24" s="51">
        <v>0.05</v>
      </c>
      <c r="I24" s="51">
        <v>50.0</v>
      </c>
      <c r="J24" s="54">
        <f> AVERAGE(I24,I25)</f>
        <v>45</v>
      </c>
      <c r="K24" s="54">
        <f>AVERAGE(I26,I27)</f>
        <v>36.66666667</v>
      </c>
      <c r="L24" s="54"/>
      <c r="M24" s="54"/>
      <c r="N24" s="54"/>
      <c r="O24" s="54"/>
    </row>
    <row r="25" ht="15.75" customHeight="1">
      <c r="A25" s="53">
        <v>3.0</v>
      </c>
      <c r="B25" s="51">
        <v>11.0</v>
      </c>
      <c r="C25" s="51" t="s">
        <v>129</v>
      </c>
      <c r="D25" s="51">
        <v>5.5</v>
      </c>
      <c r="E25" s="51" t="s">
        <v>108</v>
      </c>
      <c r="F25" s="51">
        <v>25.0</v>
      </c>
      <c r="G25" s="51">
        <v>30.0</v>
      </c>
      <c r="H25" s="51">
        <v>0.04</v>
      </c>
      <c r="I25" s="51">
        <v>40.0</v>
      </c>
      <c r="J25" s="54"/>
      <c r="K25" s="54"/>
      <c r="L25" s="54"/>
      <c r="M25" s="54"/>
      <c r="N25" s="54"/>
      <c r="O25" s="54"/>
    </row>
    <row r="26" ht="15.75" customHeight="1">
      <c r="A26" s="53">
        <v>3.0</v>
      </c>
      <c r="B26" s="51">
        <v>11.0</v>
      </c>
      <c r="C26" s="51" t="s">
        <v>128</v>
      </c>
      <c r="D26" s="51">
        <v>5.5</v>
      </c>
      <c r="E26" s="51" t="s">
        <v>114</v>
      </c>
      <c r="F26" s="51">
        <v>25.0</v>
      </c>
      <c r="G26" s="51">
        <v>30.0</v>
      </c>
      <c r="H26" s="51">
        <v>0.04</v>
      </c>
      <c r="I26" s="51">
        <v>40.0</v>
      </c>
      <c r="J26" s="54"/>
      <c r="K26" s="54"/>
      <c r="L26" s="54"/>
      <c r="M26" s="54"/>
      <c r="N26" s="54"/>
      <c r="O26" s="54"/>
    </row>
    <row r="27" ht="15.75" customHeight="1">
      <c r="A27" s="53">
        <v>3.0</v>
      </c>
      <c r="B27" s="51">
        <v>11.0</v>
      </c>
      <c r="C27" s="51" t="s">
        <v>129</v>
      </c>
      <c r="D27" s="51">
        <v>5.5</v>
      </c>
      <c r="E27" s="51" t="s">
        <v>114</v>
      </c>
      <c r="F27" s="51">
        <v>30.0</v>
      </c>
      <c r="G27" s="51">
        <v>50.0</v>
      </c>
      <c r="H27" s="51">
        <v>0.03333333333</v>
      </c>
      <c r="I27" s="51">
        <v>33.33333333</v>
      </c>
      <c r="J27" s="54"/>
      <c r="K27" s="54"/>
      <c r="L27" s="54"/>
      <c r="M27" s="54"/>
      <c r="N27" s="54"/>
      <c r="O27" s="54"/>
    </row>
    <row r="28" ht="15.75" customHeight="1">
      <c r="A28" s="53">
        <v>4.0</v>
      </c>
      <c r="B28" s="51">
        <v>36.0</v>
      </c>
      <c r="C28" s="51" t="s">
        <v>130</v>
      </c>
      <c r="D28" s="51">
        <v>2.0</v>
      </c>
      <c r="E28" s="51" t="s">
        <v>108</v>
      </c>
      <c r="F28" s="51">
        <v>15.0</v>
      </c>
      <c r="G28" s="51">
        <v>20.0</v>
      </c>
      <c r="H28" s="51">
        <v>0.06666666667</v>
      </c>
      <c r="I28" s="51">
        <v>66.66666667</v>
      </c>
      <c r="J28" s="54">
        <f>AVERAGE(I28,I29,I30,I31,I32,I33,I34,I35)</f>
        <v>35.72420635</v>
      </c>
      <c r="K28" s="54">
        <f>AVERAGE(I36,I37,I38,I39,I40,I41,I42,I43,I44)</f>
        <v>28.21949655</v>
      </c>
      <c r="L28" s="54"/>
      <c r="M28" s="54"/>
      <c r="N28" s="54"/>
      <c r="O28" s="54"/>
    </row>
    <row r="29" ht="15.75" customHeight="1">
      <c r="A29" s="53">
        <v>4.0</v>
      </c>
      <c r="B29" s="51">
        <v>36.0</v>
      </c>
      <c r="C29" s="51" t="s">
        <v>131</v>
      </c>
      <c r="D29" s="51">
        <v>3.5</v>
      </c>
      <c r="E29" s="51" t="s">
        <v>108</v>
      </c>
      <c r="F29" s="51">
        <v>20.0</v>
      </c>
      <c r="G29" s="51">
        <v>25.0</v>
      </c>
      <c r="H29" s="51">
        <v>0.05</v>
      </c>
      <c r="I29" s="51">
        <v>50.0</v>
      </c>
      <c r="J29" s="54"/>
      <c r="K29" s="54"/>
      <c r="L29" s="54"/>
      <c r="M29" s="54"/>
      <c r="N29" s="54"/>
      <c r="O29" s="54"/>
    </row>
    <row r="30" ht="15.75" customHeight="1">
      <c r="A30" s="53">
        <v>4.0</v>
      </c>
      <c r="B30" s="51">
        <v>36.0</v>
      </c>
      <c r="C30" s="51" t="s">
        <v>132</v>
      </c>
      <c r="D30" s="51">
        <v>4.0</v>
      </c>
      <c r="E30" s="51" t="s">
        <v>108</v>
      </c>
      <c r="F30" s="51">
        <v>25.0</v>
      </c>
      <c r="G30" s="51">
        <v>30.0</v>
      </c>
      <c r="H30" s="51">
        <v>0.04</v>
      </c>
      <c r="I30" s="51">
        <v>40.0</v>
      </c>
      <c r="J30" s="54"/>
      <c r="K30" s="54"/>
      <c r="L30" s="54"/>
      <c r="M30" s="54"/>
      <c r="N30" s="54"/>
      <c r="O30" s="54"/>
    </row>
    <row r="31" ht="15.75" customHeight="1">
      <c r="A31" s="53">
        <v>4.0</v>
      </c>
      <c r="B31" s="51">
        <v>36.0</v>
      </c>
      <c r="C31" s="51" t="s">
        <v>133</v>
      </c>
      <c r="D31" s="51">
        <v>5.0</v>
      </c>
      <c r="E31" s="51" t="s">
        <v>108</v>
      </c>
      <c r="F31" s="51">
        <v>30.0</v>
      </c>
      <c r="G31" s="51">
        <v>35.0</v>
      </c>
      <c r="H31" s="51">
        <v>0.03333333333</v>
      </c>
      <c r="I31" s="51">
        <v>33.33333333</v>
      </c>
      <c r="J31" s="54"/>
      <c r="K31" s="54"/>
      <c r="L31" s="54"/>
      <c r="M31" s="54"/>
      <c r="N31" s="54"/>
      <c r="O31" s="54"/>
    </row>
    <row r="32" ht="15.75" customHeight="1">
      <c r="A32" s="53">
        <v>4.0</v>
      </c>
      <c r="B32" s="51">
        <v>36.0</v>
      </c>
      <c r="C32" s="51" t="s">
        <v>134</v>
      </c>
      <c r="D32" s="51">
        <v>5.5</v>
      </c>
      <c r="E32" s="51" t="s">
        <v>108</v>
      </c>
      <c r="F32" s="51">
        <v>35.0</v>
      </c>
      <c r="G32" s="51">
        <v>40.0</v>
      </c>
      <c r="H32" s="51">
        <v>0.02857142857</v>
      </c>
      <c r="I32" s="51">
        <v>28.57142857</v>
      </c>
      <c r="J32" s="54"/>
      <c r="K32" s="54"/>
      <c r="L32" s="54"/>
      <c r="M32" s="54"/>
      <c r="N32" s="54"/>
      <c r="O32" s="54"/>
    </row>
    <row r="33" ht="15.75" customHeight="1">
      <c r="A33" s="53">
        <v>4.0</v>
      </c>
      <c r="B33" s="51">
        <v>36.0</v>
      </c>
      <c r="C33" s="51" t="s">
        <v>135</v>
      </c>
      <c r="D33" s="51">
        <v>6.0</v>
      </c>
      <c r="E33" s="51" t="s">
        <v>108</v>
      </c>
      <c r="F33" s="51">
        <v>40.0</v>
      </c>
      <c r="G33" s="51">
        <v>45.0</v>
      </c>
      <c r="H33" s="51">
        <v>0.025</v>
      </c>
      <c r="I33" s="51">
        <v>25.0</v>
      </c>
      <c r="J33" s="54"/>
      <c r="K33" s="54"/>
      <c r="L33" s="54"/>
      <c r="M33" s="54"/>
      <c r="N33" s="54"/>
      <c r="O33" s="54"/>
    </row>
    <row r="34" ht="15.75" customHeight="1">
      <c r="A34" s="53">
        <v>4.0</v>
      </c>
      <c r="B34" s="51">
        <v>36.0</v>
      </c>
      <c r="C34" s="51" t="s">
        <v>136</v>
      </c>
      <c r="D34" s="51">
        <v>5.0</v>
      </c>
      <c r="E34" s="51" t="s">
        <v>108</v>
      </c>
      <c r="F34" s="51">
        <v>45.0</v>
      </c>
      <c r="G34" s="51">
        <v>50.0</v>
      </c>
      <c r="H34" s="51">
        <v>0.02222222222</v>
      </c>
      <c r="I34" s="51">
        <v>22.22222222</v>
      </c>
      <c r="J34" s="54"/>
      <c r="K34" s="54"/>
      <c r="L34" s="54"/>
      <c r="M34" s="54"/>
      <c r="N34" s="54"/>
      <c r="O34" s="54"/>
    </row>
    <row r="35" ht="15.75" customHeight="1">
      <c r="A35" s="53">
        <v>4.0</v>
      </c>
      <c r="B35" s="51">
        <v>36.0</v>
      </c>
      <c r="C35" s="51" t="s">
        <v>137</v>
      </c>
      <c r="D35" s="51">
        <v>5.0</v>
      </c>
      <c r="E35" s="51" t="s">
        <v>108</v>
      </c>
      <c r="F35" s="51">
        <v>50.0</v>
      </c>
      <c r="G35" s="51">
        <v>60.0</v>
      </c>
      <c r="H35" s="51">
        <v>0.02</v>
      </c>
      <c r="I35" s="51">
        <v>20.0</v>
      </c>
      <c r="J35" s="54"/>
      <c r="K35" s="54"/>
      <c r="L35" s="54"/>
      <c r="M35" s="54"/>
      <c r="N35" s="54"/>
      <c r="O35" s="54"/>
    </row>
    <row r="36" ht="15.75" customHeight="1">
      <c r="A36" s="53">
        <v>4.0</v>
      </c>
      <c r="B36" s="51">
        <v>36.0</v>
      </c>
      <c r="C36" s="51" t="s">
        <v>130</v>
      </c>
      <c r="D36" s="51">
        <v>1.5</v>
      </c>
      <c r="E36" s="51" t="s">
        <v>114</v>
      </c>
      <c r="F36" s="51">
        <v>20.0</v>
      </c>
      <c r="G36" s="51">
        <v>25.0</v>
      </c>
      <c r="H36" s="51">
        <v>0.05</v>
      </c>
      <c r="I36" s="51">
        <v>50.0</v>
      </c>
      <c r="J36" s="54"/>
      <c r="K36" s="54"/>
      <c r="L36" s="54"/>
      <c r="M36" s="54"/>
      <c r="N36" s="54"/>
      <c r="O36" s="54"/>
    </row>
    <row r="37" ht="15.75" customHeight="1">
      <c r="A37" s="53">
        <v>4.0</v>
      </c>
      <c r="B37" s="51">
        <v>36.0</v>
      </c>
      <c r="C37" s="51" t="s">
        <v>131</v>
      </c>
      <c r="D37" s="51">
        <v>2.0</v>
      </c>
      <c r="E37" s="51" t="s">
        <v>114</v>
      </c>
      <c r="F37" s="51">
        <v>25.0</v>
      </c>
      <c r="G37" s="51">
        <v>30.0</v>
      </c>
      <c r="H37" s="51">
        <v>0.04</v>
      </c>
      <c r="I37" s="51">
        <v>40.0</v>
      </c>
      <c r="J37" s="54"/>
      <c r="K37" s="54"/>
      <c r="L37" s="54"/>
      <c r="M37" s="54"/>
      <c r="N37" s="54"/>
      <c r="O37" s="54"/>
    </row>
    <row r="38" ht="15.75" customHeight="1">
      <c r="A38" s="53">
        <v>4.0</v>
      </c>
      <c r="B38" s="51">
        <v>36.0</v>
      </c>
      <c r="C38" s="51" t="s">
        <v>132</v>
      </c>
      <c r="D38" s="51">
        <v>3.0</v>
      </c>
      <c r="E38" s="51" t="s">
        <v>114</v>
      </c>
      <c r="F38" s="51">
        <v>30.0</v>
      </c>
      <c r="G38" s="51">
        <v>35.0</v>
      </c>
      <c r="H38" s="51">
        <v>0.03333333333</v>
      </c>
      <c r="I38" s="51">
        <v>33.33333333</v>
      </c>
      <c r="J38" s="54"/>
      <c r="K38" s="54"/>
      <c r="L38" s="54"/>
      <c r="M38" s="54"/>
      <c r="N38" s="54"/>
      <c r="O38" s="54"/>
    </row>
    <row r="39" ht="15.75" customHeight="1">
      <c r="A39" s="53">
        <v>4.0</v>
      </c>
      <c r="B39" s="51">
        <v>36.0</v>
      </c>
      <c r="C39" s="51" t="s">
        <v>133</v>
      </c>
      <c r="D39" s="51">
        <v>4.0</v>
      </c>
      <c r="E39" s="51" t="s">
        <v>114</v>
      </c>
      <c r="F39" s="51">
        <v>35.0</v>
      </c>
      <c r="G39" s="51">
        <v>40.0</v>
      </c>
      <c r="H39" s="51">
        <v>0.02857142857</v>
      </c>
      <c r="I39" s="51">
        <v>28.57142857</v>
      </c>
      <c r="J39" s="54"/>
      <c r="K39" s="54"/>
      <c r="L39" s="54"/>
      <c r="M39" s="54"/>
      <c r="N39" s="54"/>
      <c r="O39" s="54"/>
    </row>
    <row r="40" ht="15.75" customHeight="1">
      <c r="A40" s="53">
        <v>4.0</v>
      </c>
      <c r="B40" s="51">
        <v>36.0</v>
      </c>
      <c r="C40" s="51" t="s">
        <v>134</v>
      </c>
      <c r="D40" s="51">
        <v>5.0</v>
      </c>
      <c r="E40" s="51" t="s">
        <v>114</v>
      </c>
      <c r="F40" s="51">
        <v>40.0</v>
      </c>
      <c r="G40" s="51">
        <v>45.0</v>
      </c>
      <c r="H40" s="51">
        <v>0.025</v>
      </c>
      <c r="I40" s="51">
        <v>25.0</v>
      </c>
      <c r="J40" s="54"/>
      <c r="K40" s="54"/>
      <c r="L40" s="54"/>
      <c r="M40" s="54"/>
      <c r="N40" s="54"/>
      <c r="O40" s="54"/>
    </row>
    <row r="41" ht="15.75" customHeight="1">
      <c r="A41" s="53">
        <v>4.0</v>
      </c>
      <c r="B41" s="51">
        <v>36.0</v>
      </c>
      <c r="C41" s="51" t="s">
        <v>135</v>
      </c>
      <c r="D41" s="51">
        <v>6.0</v>
      </c>
      <c r="E41" s="51" t="s">
        <v>114</v>
      </c>
      <c r="F41" s="51">
        <v>45.0</v>
      </c>
      <c r="G41" s="51">
        <v>50.0</v>
      </c>
      <c r="H41" s="51">
        <v>0.02222222222</v>
      </c>
      <c r="I41" s="51">
        <v>22.22222222</v>
      </c>
      <c r="J41" s="54"/>
      <c r="K41" s="54"/>
      <c r="L41" s="54"/>
      <c r="M41" s="54"/>
      <c r="N41" s="54"/>
      <c r="O41" s="54"/>
    </row>
    <row r="42" ht="15.75" customHeight="1">
      <c r="A42" s="53">
        <v>4.0</v>
      </c>
      <c r="B42" s="51">
        <v>36.0</v>
      </c>
      <c r="C42" s="51" t="s">
        <v>136</v>
      </c>
      <c r="D42" s="51">
        <v>5.5</v>
      </c>
      <c r="E42" s="51" t="s">
        <v>114</v>
      </c>
      <c r="F42" s="51">
        <v>50.0</v>
      </c>
      <c r="G42" s="51">
        <v>55.0</v>
      </c>
      <c r="H42" s="51">
        <v>0.02</v>
      </c>
      <c r="I42" s="51">
        <v>20.0</v>
      </c>
      <c r="J42" s="54"/>
      <c r="K42" s="54"/>
      <c r="L42" s="54"/>
      <c r="M42" s="54"/>
      <c r="N42" s="54"/>
      <c r="O42" s="54"/>
    </row>
    <row r="43" ht="15.75" customHeight="1">
      <c r="A43" s="53">
        <v>4.0</v>
      </c>
      <c r="B43" s="51">
        <v>36.0</v>
      </c>
      <c r="C43" s="51" t="s">
        <v>138</v>
      </c>
      <c r="D43" s="51">
        <v>4.5</v>
      </c>
      <c r="E43" s="51" t="s">
        <v>114</v>
      </c>
      <c r="F43" s="51">
        <v>55.0</v>
      </c>
      <c r="G43" s="51">
        <v>60.0</v>
      </c>
      <c r="H43" s="51">
        <v>0.01818181818</v>
      </c>
      <c r="I43" s="51">
        <v>18.18181818</v>
      </c>
      <c r="J43" s="54"/>
      <c r="K43" s="54"/>
      <c r="L43" s="54"/>
      <c r="M43" s="54"/>
      <c r="N43" s="54"/>
      <c r="O43" s="54"/>
    </row>
    <row r="44" ht="15.75" customHeight="1">
      <c r="A44" s="53">
        <v>4.0</v>
      </c>
      <c r="B44" s="51">
        <v>36.0</v>
      </c>
      <c r="C44" s="51" t="s">
        <v>139</v>
      </c>
      <c r="D44" s="51">
        <v>4.5</v>
      </c>
      <c r="E44" s="51" t="s">
        <v>114</v>
      </c>
      <c r="F44" s="51">
        <v>60.0</v>
      </c>
      <c r="G44" s="51">
        <v>70.0</v>
      </c>
      <c r="H44" s="51">
        <v>0.01666666667</v>
      </c>
      <c r="I44" s="51">
        <v>16.66666667</v>
      </c>
      <c r="J44" s="54"/>
      <c r="K44" s="54"/>
      <c r="L44" s="54"/>
      <c r="M44" s="54"/>
      <c r="N44" s="54"/>
      <c r="O44" s="54"/>
    </row>
    <row r="45" ht="15.75" customHeight="1">
      <c r="A45" s="53">
        <v>5.0</v>
      </c>
      <c r="B45" s="51">
        <v>20.0</v>
      </c>
      <c r="C45" s="51" t="s">
        <v>140</v>
      </c>
      <c r="D45" s="51">
        <v>3.0</v>
      </c>
      <c r="E45" s="51" t="s">
        <v>108</v>
      </c>
      <c r="F45" s="51">
        <v>20.0</v>
      </c>
      <c r="G45" s="51">
        <v>25.0</v>
      </c>
      <c r="H45" s="51">
        <v>0.05</v>
      </c>
      <c r="I45" s="51">
        <v>50.0</v>
      </c>
      <c r="J45" s="54">
        <f>AVERAGE(I45,I46,I47,I48)</f>
        <v>37.97619048</v>
      </c>
      <c r="K45" s="54">
        <f>AVERAGE(I49,I50,I51,I52,I53)</f>
        <v>29.82539682</v>
      </c>
      <c r="L45" s="54"/>
      <c r="M45" s="54"/>
      <c r="N45" s="54"/>
      <c r="O45" s="54"/>
    </row>
    <row r="46" ht="15.75" customHeight="1">
      <c r="A46" s="53">
        <v>5.0</v>
      </c>
      <c r="B46" s="51">
        <v>20.0</v>
      </c>
      <c r="C46" s="51" t="s">
        <v>141</v>
      </c>
      <c r="D46" s="51">
        <v>4.0</v>
      </c>
      <c r="E46" s="51" t="s">
        <v>108</v>
      </c>
      <c r="F46" s="51">
        <v>25.0</v>
      </c>
      <c r="G46" s="51">
        <v>30.0</v>
      </c>
      <c r="H46" s="51">
        <v>0.04</v>
      </c>
      <c r="I46" s="51">
        <v>40.0</v>
      </c>
      <c r="J46" s="54"/>
      <c r="K46" s="54"/>
      <c r="L46" s="54"/>
      <c r="M46" s="54"/>
      <c r="N46" s="54"/>
      <c r="O46" s="54"/>
    </row>
    <row r="47" ht="15.75" customHeight="1">
      <c r="A47" s="53">
        <v>5.0</v>
      </c>
      <c r="B47" s="51">
        <v>20.0</v>
      </c>
      <c r="C47" s="51" t="s">
        <v>142</v>
      </c>
      <c r="D47" s="51">
        <v>5.0</v>
      </c>
      <c r="E47" s="51" t="s">
        <v>108</v>
      </c>
      <c r="F47" s="51">
        <v>30.0</v>
      </c>
      <c r="G47" s="51">
        <v>35.0</v>
      </c>
      <c r="H47" s="51">
        <v>0.03333333333</v>
      </c>
      <c r="I47" s="51">
        <v>33.33333333</v>
      </c>
      <c r="J47" s="54"/>
      <c r="K47" s="54"/>
      <c r="L47" s="54"/>
      <c r="M47" s="54"/>
      <c r="N47" s="54"/>
      <c r="O47" s="54"/>
    </row>
    <row r="48" ht="15.75" customHeight="1">
      <c r="A48" s="53">
        <v>5.0</v>
      </c>
      <c r="B48" s="51">
        <v>20.0</v>
      </c>
      <c r="C48" s="51" t="s">
        <v>143</v>
      </c>
      <c r="D48" s="51">
        <v>8.0</v>
      </c>
      <c r="E48" s="51" t="s">
        <v>108</v>
      </c>
      <c r="F48" s="51">
        <v>35.0</v>
      </c>
      <c r="G48" s="51">
        <v>45.0</v>
      </c>
      <c r="H48" s="51">
        <v>0.02857142857</v>
      </c>
      <c r="I48" s="51">
        <v>28.57142857</v>
      </c>
      <c r="J48" s="54"/>
      <c r="K48" s="54"/>
      <c r="L48" s="54"/>
      <c r="M48" s="54"/>
      <c r="N48" s="54"/>
      <c r="O48" s="54"/>
    </row>
    <row r="49" ht="15.75" customHeight="1">
      <c r="A49" s="53">
        <v>5.0</v>
      </c>
      <c r="B49" s="51">
        <v>20.0</v>
      </c>
      <c r="C49" s="51" t="s">
        <v>140</v>
      </c>
      <c r="D49" s="51">
        <v>2.0</v>
      </c>
      <c r="E49" s="51" t="s">
        <v>114</v>
      </c>
      <c r="F49" s="51">
        <v>25.0</v>
      </c>
      <c r="G49" s="51">
        <v>30.0</v>
      </c>
      <c r="H49" s="51">
        <v>0.04</v>
      </c>
      <c r="I49" s="51">
        <v>40.0</v>
      </c>
      <c r="J49" s="54"/>
      <c r="K49" s="54"/>
      <c r="L49" s="54"/>
      <c r="M49" s="54"/>
      <c r="N49" s="54"/>
      <c r="O49" s="54"/>
    </row>
    <row r="50" ht="15.75" customHeight="1">
      <c r="A50" s="53">
        <v>5.0</v>
      </c>
      <c r="B50" s="51">
        <v>20.0</v>
      </c>
      <c r="C50" s="51" t="s">
        <v>141</v>
      </c>
      <c r="D50" s="51">
        <v>3.5</v>
      </c>
      <c r="E50" s="51" t="s">
        <v>114</v>
      </c>
      <c r="F50" s="51">
        <v>30.0</v>
      </c>
      <c r="G50" s="51">
        <v>35.0</v>
      </c>
      <c r="H50" s="51">
        <v>0.03333333333</v>
      </c>
      <c r="I50" s="51">
        <v>33.33333333</v>
      </c>
      <c r="J50" s="54"/>
      <c r="K50" s="54"/>
      <c r="L50" s="54"/>
      <c r="M50" s="54"/>
      <c r="N50" s="54"/>
      <c r="O50" s="54"/>
    </row>
    <row r="51" ht="15.75" customHeight="1">
      <c r="A51" s="53">
        <v>5.0</v>
      </c>
      <c r="B51" s="51">
        <v>20.0</v>
      </c>
      <c r="C51" s="51" t="s">
        <v>142</v>
      </c>
      <c r="D51" s="51">
        <v>4.0</v>
      </c>
      <c r="E51" s="51" t="s">
        <v>114</v>
      </c>
      <c r="F51" s="51">
        <v>35.0</v>
      </c>
      <c r="G51" s="51">
        <v>40.0</v>
      </c>
      <c r="H51" s="51">
        <v>0.02857142857</v>
      </c>
      <c r="I51" s="51">
        <v>28.57142857</v>
      </c>
      <c r="J51" s="54"/>
      <c r="K51" s="54"/>
      <c r="L51" s="54"/>
      <c r="M51" s="54"/>
      <c r="N51" s="54"/>
      <c r="O51" s="54"/>
    </row>
    <row r="52" ht="15.75" customHeight="1">
      <c r="A52" s="53">
        <v>5.0</v>
      </c>
      <c r="B52" s="51">
        <v>20.0</v>
      </c>
      <c r="C52" s="51" t="s">
        <v>144</v>
      </c>
      <c r="D52" s="51">
        <v>4.0</v>
      </c>
      <c r="E52" s="51" t="s">
        <v>114</v>
      </c>
      <c r="F52" s="51">
        <v>40.0</v>
      </c>
      <c r="G52" s="51">
        <v>45.0</v>
      </c>
      <c r="H52" s="51">
        <v>0.025</v>
      </c>
      <c r="I52" s="51">
        <v>25.0</v>
      </c>
      <c r="J52" s="54"/>
      <c r="K52" s="54"/>
      <c r="L52" s="54"/>
      <c r="M52" s="54"/>
      <c r="N52" s="54"/>
      <c r="O52" s="54"/>
    </row>
    <row r="53" ht="15.75" customHeight="1">
      <c r="A53" s="53">
        <v>5.0</v>
      </c>
      <c r="B53" s="51">
        <v>20.0</v>
      </c>
      <c r="C53" s="51" t="s">
        <v>145</v>
      </c>
      <c r="D53" s="51">
        <v>6.5</v>
      </c>
      <c r="E53" s="51" t="s">
        <v>114</v>
      </c>
      <c r="F53" s="51">
        <v>45.0</v>
      </c>
      <c r="G53" s="51">
        <v>50.0</v>
      </c>
      <c r="H53" s="51">
        <v>0.02222222222</v>
      </c>
      <c r="I53" s="51">
        <v>22.22222222</v>
      </c>
      <c r="J53" s="54"/>
      <c r="K53" s="54"/>
      <c r="L53" s="54"/>
      <c r="M53" s="54"/>
      <c r="N53" s="54"/>
      <c r="O53" s="54"/>
    </row>
    <row r="54" ht="15.75" customHeight="1">
      <c r="A54" s="53">
        <v>6.0</v>
      </c>
      <c r="B54" s="51">
        <v>22.0</v>
      </c>
      <c r="C54" s="51" t="s">
        <v>146</v>
      </c>
      <c r="D54" s="51">
        <v>2.0</v>
      </c>
      <c r="E54" s="51" t="s">
        <v>108</v>
      </c>
      <c r="F54" s="51">
        <v>25.0</v>
      </c>
      <c r="G54" s="51">
        <v>30.0</v>
      </c>
      <c r="H54" s="51">
        <v>0.04</v>
      </c>
      <c r="I54" s="51">
        <v>40.0</v>
      </c>
      <c r="J54" s="54">
        <f>AVERAGE(I54,I55,I56,I57,I58,I59)</f>
        <v>28.18783069</v>
      </c>
      <c r="K54" s="54">
        <f>AVERAGE(I60,I61,I62,I63,I64,I65,)</f>
        <v>24.16099773</v>
      </c>
      <c r="L54" s="54"/>
      <c r="M54" s="54"/>
      <c r="N54" s="54"/>
      <c r="O54" s="54"/>
    </row>
    <row r="55" ht="15.75" customHeight="1">
      <c r="A55" s="53">
        <v>6.0</v>
      </c>
      <c r="B55" s="51">
        <v>22.0</v>
      </c>
      <c r="C55" s="51" t="s">
        <v>147</v>
      </c>
      <c r="D55" s="51">
        <v>3.0</v>
      </c>
      <c r="E55" s="51" t="s">
        <v>108</v>
      </c>
      <c r="F55" s="51">
        <v>30.0</v>
      </c>
      <c r="G55" s="51">
        <v>35.0</v>
      </c>
      <c r="H55" s="51">
        <v>0.03333333333</v>
      </c>
      <c r="I55" s="51">
        <v>33.33333333</v>
      </c>
      <c r="J55" s="54"/>
      <c r="K55" s="54"/>
      <c r="L55" s="54"/>
      <c r="M55" s="54"/>
      <c r="N55" s="54"/>
      <c r="O55" s="54"/>
    </row>
    <row r="56" ht="15.75" customHeight="1">
      <c r="A56" s="53">
        <v>6.0</v>
      </c>
      <c r="B56" s="51">
        <v>22.0</v>
      </c>
      <c r="C56" s="51" t="s">
        <v>148</v>
      </c>
      <c r="D56" s="51">
        <v>4.5</v>
      </c>
      <c r="E56" s="51" t="s">
        <v>108</v>
      </c>
      <c r="F56" s="51">
        <v>35.0</v>
      </c>
      <c r="G56" s="51">
        <v>40.0</v>
      </c>
      <c r="H56" s="51">
        <v>0.02857142857</v>
      </c>
      <c r="I56" s="51">
        <v>28.57142857</v>
      </c>
      <c r="J56" s="54"/>
      <c r="K56" s="54"/>
      <c r="L56" s="54"/>
      <c r="M56" s="54"/>
      <c r="N56" s="54"/>
      <c r="O56" s="54"/>
    </row>
    <row r="57" ht="15.75" customHeight="1">
      <c r="A57" s="53">
        <v>6.0</v>
      </c>
      <c r="B57" s="51">
        <v>22.0</v>
      </c>
      <c r="C57" s="51" t="s">
        <v>149</v>
      </c>
      <c r="D57" s="51">
        <v>3.0</v>
      </c>
      <c r="E57" s="51" t="s">
        <v>108</v>
      </c>
      <c r="F57" s="51">
        <v>40.0</v>
      </c>
      <c r="G57" s="51">
        <v>45.0</v>
      </c>
      <c r="H57" s="51">
        <v>0.025</v>
      </c>
      <c r="I57" s="51">
        <v>25.0</v>
      </c>
      <c r="J57" s="54"/>
      <c r="K57" s="54"/>
      <c r="L57" s="54"/>
      <c r="M57" s="54"/>
      <c r="N57" s="54"/>
      <c r="O57" s="54"/>
    </row>
    <row r="58" ht="15.75" customHeight="1">
      <c r="A58" s="53">
        <v>6.0</v>
      </c>
      <c r="B58" s="51">
        <v>22.0</v>
      </c>
      <c r="C58" s="51" t="s">
        <v>150</v>
      </c>
      <c r="D58" s="51">
        <v>4.0</v>
      </c>
      <c r="E58" s="51" t="s">
        <v>108</v>
      </c>
      <c r="F58" s="51">
        <v>45.0</v>
      </c>
      <c r="G58" s="51">
        <v>50.0</v>
      </c>
      <c r="H58" s="51">
        <v>0.02222222222</v>
      </c>
      <c r="I58" s="51">
        <v>22.22222222</v>
      </c>
      <c r="J58" s="54"/>
      <c r="K58" s="54"/>
      <c r="L58" s="54"/>
      <c r="M58" s="54"/>
      <c r="N58" s="54"/>
      <c r="O58" s="54"/>
    </row>
    <row r="59" ht="15.75" customHeight="1">
      <c r="A59" s="53">
        <v>6.0</v>
      </c>
      <c r="B59" s="51">
        <v>22.0</v>
      </c>
      <c r="C59" s="51" t="s">
        <v>151</v>
      </c>
      <c r="D59" s="51">
        <v>5.5</v>
      </c>
      <c r="E59" s="51" t="s">
        <v>108</v>
      </c>
      <c r="F59" s="51">
        <v>50.0</v>
      </c>
      <c r="G59" s="51">
        <v>60.0</v>
      </c>
      <c r="H59" s="51">
        <v>0.02</v>
      </c>
      <c r="I59" s="51">
        <v>20.0</v>
      </c>
      <c r="J59" s="54"/>
      <c r="K59" s="54"/>
      <c r="L59" s="54"/>
      <c r="M59" s="54"/>
      <c r="N59" s="54"/>
      <c r="O59" s="54"/>
    </row>
    <row r="60" ht="15.75" customHeight="1">
      <c r="A60" s="53">
        <v>6.0</v>
      </c>
      <c r="B60" s="51">
        <v>22.0</v>
      </c>
      <c r="C60" s="51" t="s">
        <v>146</v>
      </c>
      <c r="D60" s="51">
        <v>2.5</v>
      </c>
      <c r="E60" s="51" t="s">
        <v>114</v>
      </c>
      <c r="F60" s="51">
        <v>25.0</v>
      </c>
      <c r="G60" s="51">
        <v>30.0</v>
      </c>
      <c r="H60" s="51">
        <v>0.04</v>
      </c>
      <c r="I60" s="51">
        <v>40.0</v>
      </c>
      <c r="J60" s="54"/>
      <c r="K60" s="54"/>
      <c r="L60" s="54"/>
      <c r="M60" s="54"/>
      <c r="N60" s="54"/>
      <c r="O60" s="54"/>
    </row>
    <row r="61" ht="15.75" customHeight="1">
      <c r="A61" s="53">
        <v>6.0</v>
      </c>
      <c r="B61" s="51">
        <v>22.0</v>
      </c>
      <c r="C61" s="51" t="s">
        <v>147</v>
      </c>
      <c r="D61" s="51">
        <v>3.0</v>
      </c>
      <c r="E61" s="51" t="s">
        <v>114</v>
      </c>
      <c r="F61" s="51">
        <v>30.0</v>
      </c>
      <c r="G61" s="51">
        <v>35.0</v>
      </c>
      <c r="H61" s="51">
        <v>0.03333333333</v>
      </c>
      <c r="I61" s="51">
        <v>33.33333333</v>
      </c>
      <c r="J61" s="54"/>
      <c r="K61" s="54"/>
      <c r="L61" s="54"/>
      <c r="M61" s="54"/>
      <c r="N61" s="54"/>
      <c r="O61" s="54"/>
    </row>
    <row r="62" ht="15.75" customHeight="1">
      <c r="A62" s="53">
        <v>6.0</v>
      </c>
      <c r="B62" s="51">
        <v>22.0</v>
      </c>
      <c r="C62" s="51" t="s">
        <v>148</v>
      </c>
      <c r="D62" s="51">
        <v>4.0</v>
      </c>
      <c r="E62" s="51" t="s">
        <v>114</v>
      </c>
      <c r="F62" s="51">
        <v>35.0</v>
      </c>
      <c r="G62" s="51">
        <v>40.0</v>
      </c>
      <c r="H62" s="51">
        <v>0.02857142857</v>
      </c>
      <c r="I62" s="51">
        <v>28.57142857</v>
      </c>
      <c r="J62" s="54"/>
      <c r="K62" s="54"/>
      <c r="L62" s="54"/>
      <c r="M62" s="54"/>
      <c r="N62" s="54"/>
      <c r="O62" s="54"/>
    </row>
    <row r="63" ht="15.75" customHeight="1">
      <c r="A63" s="53">
        <v>6.0</v>
      </c>
      <c r="B63" s="51">
        <v>22.0</v>
      </c>
      <c r="C63" s="51" t="s">
        <v>149</v>
      </c>
      <c r="D63" s="51">
        <v>3.5</v>
      </c>
      <c r="E63" s="51" t="s">
        <v>114</v>
      </c>
      <c r="F63" s="51">
        <v>40.0</v>
      </c>
      <c r="G63" s="51">
        <v>45.0</v>
      </c>
      <c r="H63" s="51">
        <v>0.025</v>
      </c>
      <c r="I63" s="51">
        <v>25.0</v>
      </c>
      <c r="J63" s="54"/>
      <c r="K63" s="54"/>
      <c r="L63" s="54"/>
      <c r="M63" s="54"/>
      <c r="N63" s="54"/>
      <c r="O63" s="54"/>
    </row>
    <row r="64" ht="15.75" customHeight="1">
      <c r="A64" s="53">
        <v>6.0</v>
      </c>
      <c r="B64" s="51">
        <v>22.0</v>
      </c>
      <c r="C64" s="51" t="s">
        <v>150</v>
      </c>
      <c r="D64" s="51">
        <v>4.0</v>
      </c>
      <c r="E64" s="51" t="s">
        <v>114</v>
      </c>
      <c r="F64" s="51">
        <v>45.0</v>
      </c>
      <c r="G64" s="51">
        <v>50.0</v>
      </c>
      <c r="H64" s="51">
        <v>0.02222222222</v>
      </c>
      <c r="I64" s="51">
        <v>22.22222222</v>
      </c>
      <c r="J64" s="54"/>
      <c r="K64" s="54"/>
      <c r="L64" s="54"/>
      <c r="M64" s="54"/>
      <c r="N64" s="54"/>
      <c r="O64" s="54"/>
    </row>
    <row r="65" ht="15.75" customHeight="1">
      <c r="A65" s="53">
        <v>6.0</v>
      </c>
      <c r="B65" s="51">
        <v>22.0</v>
      </c>
      <c r="C65" s="51" t="s">
        <v>151</v>
      </c>
      <c r="D65" s="51">
        <v>5.0</v>
      </c>
      <c r="E65" s="51" t="s">
        <v>114</v>
      </c>
      <c r="F65" s="51">
        <v>50.0</v>
      </c>
      <c r="G65" s="51">
        <v>60.0</v>
      </c>
      <c r="H65" s="51">
        <v>0.02</v>
      </c>
      <c r="I65" s="51">
        <v>20.0</v>
      </c>
      <c r="J65" s="54"/>
      <c r="K65" s="54"/>
      <c r="L65" s="54"/>
      <c r="M65" s="54"/>
      <c r="N65" s="54"/>
      <c r="O65" s="5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1.13"/>
    <col customWidth="1" min="3" max="3" width="7.63"/>
    <col customWidth="1" min="4" max="4" width="12.88"/>
    <col customWidth="1" min="5" max="5" width="9.5"/>
    <col customWidth="1" min="6" max="6" width="14.13"/>
    <col customWidth="1" min="7" max="7" width="12.88"/>
    <col customWidth="1" min="8" max="8" width="13.5"/>
    <col customWidth="1" min="9" max="9" width="15.38"/>
    <col customWidth="1" min="10" max="10" width="15.0"/>
    <col customWidth="1" min="11" max="11" width="8.5"/>
    <col customWidth="1" min="12" max="12" width="16.5"/>
    <col customWidth="1" min="13" max="13" width="7.88"/>
    <col customWidth="1" min="14" max="14" width="14.88"/>
    <col customWidth="1" min="15" max="15" width="13.0"/>
    <col customWidth="1" min="16" max="16" width="12.0"/>
    <col customWidth="1" min="17" max="17" width="26.63"/>
    <col customWidth="1" min="18" max="18" width="20.5"/>
    <col customWidth="1" min="19" max="19" width="10.88"/>
    <col customWidth="1" min="20" max="20" width="19.25"/>
    <col customWidth="1" min="21" max="21" width="12.88"/>
    <col customWidth="1" min="22" max="22" width="15.63"/>
    <col customWidth="1" min="23" max="23" width="14.88"/>
    <col customWidth="1" min="24" max="24" width="13.75"/>
    <col customWidth="1" min="25" max="25" width="21.63"/>
    <col customWidth="1" min="26" max="26" width="32.13"/>
    <col customWidth="1" min="27" max="27" width="18.38"/>
    <col customWidth="1" min="28" max="28" width="20.38"/>
    <col customWidth="1" min="29" max="29" width="15.5"/>
    <col customWidth="1" min="30" max="30" width="17.25"/>
    <col customWidth="1" min="31" max="31" width="15.0"/>
    <col customWidth="1" min="32" max="32" width="19.75"/>
    <col customWidth="1" min="33" max="33" width="14.38"/>
    <col customWidth="1" min="34" max="34" width="16.88"/>
    <col customWidth="1" min="35" max="35" width="18.0"/>
    <col customWidth="1" min="36" max="36" width="15.5"/>
    <col customWidth="1" min="37" max="37" width="15.38"/>
    <col customWidth="1" min="38" max="38" width="14.25"/>
    <col customWidth="1" min="39" max="39" width="15.5"/>
    <col customWidth="1" min="40" max="40" width="10.75"/>
    <col customWidth="1" min="41" max="41" width="20.0"/>
    <col customWidth="1" min="42" max="42" width="13.0"/>
    <col customWidth="1" min="43" max="43" width="17.25"/>
    <col customWidth="1" min="44" max="44" width="21.75"/>
  </cols>
  <sheetData>
    <row r="1" ht="15.75" customHeight="1">
      <c r="A1" s="55"/>
      <c r="B1" s="25" t="s">
        <v>14</v>
      </c>
      <c r="C1" s="28" t="s">
        <v>152</v>
      </c>
      <c r="D1" s="28" t="s">
        <v>153</v>
      </c>
      <c r="E1" s="28" t="s">
        <v>154</v>
      </c>
      <c r="F1" s="28" t="s">
        <v>155</v>
      </c>
      <c r="G1" s="28" t="s">
        <v>156</v>
      </c>
      <c r="H1" s="28" t="s">
        <v>157</v>
      </c>
      <c r="I1" s="28" t="s">
        <v>158</v>
      </c>
      <c r="J1" s="28" t="s">
        <v>159</v>
      </c>
      <c r="K1" s="28" t="s">
        <v>160</v>
      </c>
      <c r="L1" s="28" t="s">
        <v>161</v>
      </c>
      <c r="M1" s="28" t="s">
        <v>162</v>
      </c>
      <c r="N1" s="28" t="s">
        <v>163</v>
      </c>
      <c r="O1" s="28" t="s">
        <v>164</v>
      </c>
      <c r="P1" s="28" t="s">
        <v>165</v>
      </c>
      <c r="Q1" s="28" t="s">
        <v>166</v>
      </c>
      <c r="R1" s="28" t="s">
        <v>167</v>
      </c>
      <c r="S1" s="28" t="s">
        <v>168</v>
      </c>
      <c r="T1" s="28" t="s">
        <v>169</v>
      </c>
      <c r="U1" s="28" t="s">
        <v>44</v>
      </c>
      <c r="V1" s="28" t="s">
        <v>170</v>
      </c>
      <c r="W1" s="28" t="s">
        <v>171</v>
      </c>
      <c r="X1" s="28" t="s">
        <v>172</v>
      </c>
      <c r="Y1" s="28" t="s">
        <v>173</v>
      </c>
      <c r="Z1" s="28" t="s">
        <v>174</v>
      </c>
      <c r="AA1" s="28" t="s">
        <v>175</v>
      </c>
      <c r="AB1" s="28" t="s">
        <v>176</v>
      </c>
      <c r="AC1" s="28" t="s">
        <v>43</v>
      </c>
      <c r="AD1" s="28" t="s">
        <v>177</v>
      </c>
      <c r="AE1" s="28" t="s">
        <v>178</v>
      </c>
      <c r="AF1" s="28" t="s">
        <v>179</v>
      </c>
      <c r="AG1" s="28" t="s">
        <v>180</v>
      </c>
      <c r="AH1" s="28" t="s">
        <v>181</v>
      </c>
      <c r="AI1" s="28" t="s">
        <v>182</v>
      </c>
      <c r="AJ1" s="28" t="s">
        <v>183</v>
      </c>
      <c r="AK1" s="28" t="s">
        <v>184</v>
      </c>
      <c r="AL1" s="28" t="s">
        <v>185</v>
      </c>
      <c r="AM1" s="28" t="s">
        <v>186</v>
      </c>
      <c r="AN1" s="28" t="s">
        <v>187</v>
      </c>
      <c r="AO1" s="28" t="s">
        <v>188</v>
      </c>
      <c r="AP1" s="28" t="s">
        <v>189</v>
      </c>
      <c r="AQ1" s="28" t="s">
        <v>190</v>
      </c>
      <c r="AR1" s="28" t="s">
        <v>191</v>
      </c>
    </row>
    <row r="2" ht="15.75" customHeight="1">
      <c r="A2" s="56"/>
      <c r="B2" s="33" t="s">
        <v>24</v>
      </c>
      <c r="C2" s="57">
        <v>2922.0</v>
      </c>
      <c r="D2" s="57">
        <v>6021.6</v>
      </c>
      <c r="E2" s="57">
        <v>1659.0</v>
      </c>
      <c r="F2" s="57">
        <v>157.0</v>
      </c>
      <c r="G2" s="57">
        <v>43.8</v>
      </c>
      <c r="H2" s="57">
        <v>122.0</v>
      </c>
      <c r="I2" s="57">
        <v>66.2</v>
      </c>
      <c r="J2" s="57">
        <v>52.0</v>
      </c>
      <c r="K2" s="57">
        <v>10.4</v>
      </c>
      <c r="L2" s="57">
        <v>0.402916168</v>
      </c>
      <c r="M2" s="57">
        <v>218.0</v>
      </c>
      <c r="N2" s="57">
        <v>86.0</v>
      </c>
      <c r="O2" s="57">
        <v>207.0</v>
      </c>
      <c r="P2" s="57">
        <v>28.0</v>
      </c>
      <c r="Q2" s="57">
        <v>12.0</v>
      </c>
      <c r="R2" s="57">
        <v>102.0</v>
      </c>
      <c r="S2" s="57">
        <v>12.2</v>
      </c>
      <c r="T2" s="57">
        <v>347.0</v>
      </c>
      <c r="U2" s="57">
        <v>17.35032368</v>
      </c>
      <c r="V2" s="57">
        <v>470.0</v>
      </c>
      <c r="W2" s="57">
        <v>120.0</v>
      </c>
      <c r="X2" s="57">
        <v>194.616</v>
      </c>
      <c r="Y2" s="57">
        <v>21.0</v>
      </c>
      <c r="Z2" s="57">
        <v>6.0</v>
      </c>
      <c r="AA2" s="57">
        <v>6363517.827</v>
      </c>
      <c r="AB2" s="57">
        <v>0.29705681</v>
      </c>
      <c r="AC2" s="57">
        <v>1016.380239</v>
      </c>
      <c r="AD2" s="57">
        <v>156.0</v>
      </c>
      <c r="AE2" s="57">
        <v>978.1291667</v>
      </c>
      <c r="AF2" s="57">
        <v>25.0</v>
      </c>
      <c r="AG2" s="57">
        <v>9.433714384</v>
      </c>
      <c r="AH2" s="57">
        <v>4.0</v>
      </c>
      <c r="AI2" s="57">
        <v>0.0</v>
      </c>
      <c r="AJ2" s="57">
        <v>6.0</v>
      </c>
      <c r="AK2" s="57">
        <v>81.90830007</v>
      </c>
      <c r="AL2" s="57">
        <v>434.0</v>
      </c>
      <c r="AM2" s="57">
        <v>49.0</v>
      </c>
      <c r="AN2" s="57">
        <v>93.63958333</v>
      </c>
      <c r="AO2" s="57">
        <v>142.0</v>
      </c>
      <c r="AP2" s="57">
        <v>39.0</v>
      </c>
      <c r="AQ2" s="57">
        <v>41.0</v>
      </c>
      <c r="AR2" s="57">
        <v>199.0</v>
      </c>
    </row>
    <row r="3" ht="15.75" customHeight="1">
      <c r="A3" s="56"/>
      <c r="B3" s="33" t="s">
        <v>25</v>
      </c>
      <c r="C3" s="36">
        <v>1461.0</v>
      </c>
      <c r="D3" s="36">
        <v>3054.3</v>
      </c>
      <c r="E3" s="36">
        <v>790.0</v>
      </c>
      <c r="F3" s="36">
        <v>84.0</v>
      </c>
      <c r="G3" s="36">
        <v>59.5</v>
      </c>
      <c r="H3" s="36">
        <v>53.0</v>
      </c>
      <c r="I3" s="36">
        <v>102.6</v>
      </c>
      <c r="J3" s="36">
        <v>31.0</v>
      </c>
      <c r="K3" s="36">
        <v>11.1</v>
      </c>
      <c r="L3" s="36">
        <v>0.432570474</v>
      </c>
      <c r="M3" s="36">
        <v>124.0</v>
      </c>
      <c r="N3" s="36">
        <v>31.0</v>
      </c>
      <c r="O3" s="36">
        <v>96.0</v>
      </c>
      <c r="P3" s="36">
        <v>15.0</v>
      </c>
      <c r="Q3" s="36">
        <v>15.0</v>
      </c>
      <c r="R3" s="36">
        <v>34.0</v>
      </c>
      <c r="S3" s="36">
        <v>11.7</v>
      </c>
      <c r="T3" s="36">
        <v>154.0</v>
      </c>
      <c r="U3" s="36">
        <v>16.98646714</v>
      </c>
      <c r="V3" s="36">
        <v>325.0</v>
      </c>
      <c r="W3" s="36">
        <v>63.0</v>
      </c>
      <c r="X3" s="36">
        <v>108.0</v>
      </c>
      <c r="Y3" s="36">
        <v>11.0</v>
      </c>
      <c r="Z3" s="36">
        <v>3.0</v>
      </c>
      <c r="AA3" s="36">
        <v>3686433.898</v>
      </c>
      <c r="AB3" s="36">
        <v>0.279945243</v>
      </c>
      <c r="AC3" s="36">
        <v>1015.824962</v>
      </c>
      <c r="AD3" s="36">
        <v>94.0</v>
      </c>
      <c r="AE3" s="36">
        <v>973.6541667</v>
      </c>
      <c r="AF3" s="36">
        <v>28.25</v>
      </c>
      <c r="AG3" s="36">
        <v>9.717578105</v>
      </c>
      <c r="AH3" s="36">
        <v>4.0</v>
      </c>
      <c r="AI3" s="36">
        <v>13.0</v>
      </c>
      <c r="AJ3" s="36">
        <v>23.0</v>
      </c>
      <c r="AK3" s="36">
        <v>80.55911076</v>
      </c>
      <c r="AL3" s="36">
        <v>171.0</v>
      </c>
      <c r="AM3" s="36">
        <v>17.0</v>
      </c>
      <c r="AN3" s="36">
        <v>92.70833333</v>
      </c>
      <c r="AO3" s="36">
        <v>92.0</v>
      </c>
      <c r="AP3" s="36">
        <v>21.0</v>
      </c>
      <c r="AQ3" s="36">
        <v>25.0</v>
      </c>
      <c r="AR3" s="36">
        <v>121.0</v>
      </c>
    </row>
    <row r="4" ht="15.75" customHeight="1">
      <c r="A4" s="56"/>
      <c r="B4" s="33" t="s">
        <v>26</v>
      </c>
      <c r="C4" s="36">
        <v>1095.0</v>
      </c>
      <c r="D4" s="36">
        <v>2520.1</v>
      </c>
      <c r="E4" s="36">
        <v>612.0</v>
      </c>
      <c r="F4" s="36">
        <v>60.0</v>
      </c>
      <c r="G4" s="36">
        <v>59.1</v>
      </c>
      <c r="H4" s="36">
        <v>44.0</v>
      </c>
      <c r="I4" s="36">
        <v>73.0</v>
      </c>
      <c r="J4" s="36">
        <v>19.0</v>
      </c>
      <c r="K4" s="36">
        <v>10.36</v>
      </c>
      <c r="L4" s="36">
        <v>0.433633586</v>
      </c>
      <c r="M4" s="36">
        <v>56.0</v>
      </c>
      <c r="N4" s="36">
        <v>31.0</v>
      </c>
      <c r="O4" s="36">
        <v>51.0</v>
      </c>
      <c r="P4" s="36">
        <v>6.0</v>
      </c>
      <c r="Q4" s="36">
        <v>7.0</v>
      </c>
      <c r="R4" s="36">
        <v>33.0</v>
      </c>
      <c r="S4" s="36">
        <v>11.5</v>
      </c>
      <c r="T4" s="36">
        <v>109.0</v>
      </c>
      <c r="U4" s="36">
        <v>17.15778073</v>
      </c>
      <c r="V4" s="36">
        <v>261.0</v>
      </c>
      <c r="W4" s="36">
        <v>65.0</v>
      </c>
      <c r="X4" s="36">
        <v>120.24</v>
      </c>
      <c r="Y4" s="36">
        <v>15.0</v>
      </c>
      <c r="Z4" s="36">
        <v>4.0</v>
      </c>
      <c r="AA4" s="36">
        <v>2895562.728</v>
      </c>
      <c r="AB4" s="36">
        <v>0.261187215</v>
      </c>
      <c r="AC4" s="36">
        <v>1016.126427</v>
      </c>
      <c r="AD4" s="36">
        <v>57.0</v>
      </c>
      <c r="AE4" s="36">
        <v>980.1416667</v>
      </c>
      <c r="AF4" s="36">
        <v>21.6375</v>
      </c>
      <c r="AG4" s="36">
        <v>9.261542629</v>
      </c>
      <c r="AH4" s="36">
        <v>2.0</v>
      </c>
      <c r="AI4" s="36">
        <v>8.0</v>
      </c>
      <c r="AJ4" s="36">
        <v>11.0</v>
      </c>
      <c r="AK4" s="36">
        <v>79.94878234</v>
      </c>
      <c r="AL4" s="36">
        <v>96.0</v>
      </c>
      <c r="AM4" s="36">
        <v>8.0</v>
      </c>
      <c r="AN4" s="36">
        <v>91.5125</v>
      </c>
      <c r="AO4" s="36">
        <v>81.0</v>
      </c>
      <c r="AP4" s="36">
        <v>13.0</v>
      </c>
      <c r="AQ4" s="36">
        <v>23.0</v>
      </c>
      <c r="AR4" s="36">
        <v>99.0</v>
      </c>
    </row>
    <row r="5" ht="15.75" customHeight="1">
      <c r="A5" s="56"/>
      <c r="B5" s="33" t="s">
        <v>27</v>
      </c>
      <c r="C5" s="36">
        <v>1461.0</v>
      </c>
      <c r="D5" s="36">
        <v>2967.0</v>
      </c>
      <c r="E5" s="36">
        <v>763.0</v>
      </c>
      <c r="F5" s="36">
        <v>87.0</v>
      </c>
      <c r="G5" s="36">
        <v>43.0</v>
      </c>
      <c r="H5" s="36">
        <v>52.0</v>
      </c>
      <c r="I5" s="36">
        <v>67.7</v>
      </c>
      <c r="J5" s="36">
        <v>27.0</v>
      </c>
      <c r="K5" s="36">
        <v>11.2</v>
      </c>
      <c r="L5" s="36">
        <v>0.425682508</v>
      </c>
      <c r="M5" s="36">
        <v>69.0</v>
      </c>
      <c r="N5" s="36">
        <v>45.0</v>
      </c>
      <c r="O5" s="36">
        <v>64.0</v>
      </c>
      <c r="P5" s="36">
        <v>10.0</v>
      </c>
      <c r="Q5" s="36">
        <v>11.0</v>
      </c>
      <c r="R5" s="36">
        <v>29.0</v>
      </c>
      <c r="S5" s="36">
        <v>12.0</v>
      </c>
      <c r="T5" s="36">
        <v>162.0</v>
      </c>
      <c r="U5" s="36">
        <v>16.34109852</v>
      </c>
      <c r="V5" s="36">
        <v>302.0</v>
      </c>
      <c r="W5" s="36">
        <v>81.0</v>
      </c>
      <c r="X5" s="36">
        <v>145.8</v>
      </c>
      <c r="Y5" s="36">
        <v>18.0</v>
      </c>
      <c r="Z5" s="36">
        <v>7.0</v>
      </c>
      <c r="AA5" s="36">
        <v>3648619.728</v>
      </c>
      <c r="AB5" s="36">
        <v>0.284052019</v>
      </c>
      <c r="AC5" s="36">
        <v>1016.373423</v>
      </c>
      <c r="AD5" s="36">
        <v>95.0</v>
      </c>
      <c r="AE5" s="36">
        <v>978.9083333</v>
      </c>
      <c r="AF5" s="36">
        <v>31.55833333</v>
      </c>
      <c r="AG5" s="36">
        <v>9.852435057</v>
      </c>
      <c r="AH5" s="36">
        <v>7.0</v>
      </c>
      <c r="AI5" s="36">
        <v>11.0</v>
      </c>
      <c r="AJ5" s="36">
        <v>20.0</v>
      </c>
      <c r="AK5" s="36">
        <v>79.18156371</v>
      </c>
      <c r="AL5" s="36">
        <v>122.0</v>
      </c>
      <c r="AM5" s="36">
        <v>11.0</v>
      </c>
      <c r="AN5" s="36">
        <v>91.96875</v>
      </c>
      <c r="AO5" s="36">
        <v>104.0</v>
      </c>
      <c r="AP5" s="36">
        <v>9.0</v>
      </c>
      <c r="AQ5" s="36">
        <v>37.0</v>
      </c>
      <c r="AR5" s="36">
        <v>132.0</v>
      </c>
    </row>
    <row r="6" ht="15.75" customHeight="1">
      <c r="A6" s="56"/>
      <c r="B6" s="33" t="s">
        <v>28</v>
      </c>
      <c r="C6" s="36">
        <v>1096.0</v>
      </c>
      <c r="D6" s="36">
        <v>2044.3</v>
      </c>
      <c r="E6" s="36">
        <v>564.0</v>
      </c>
      <c r="F6" s="36">
        <v>56.0</v>
      </c>
      <c r="G6" s="36">
        <v>32.4</v>
      </c>
      <c r="H6" s="36">
        <v>43.0</v>
      </c>
      <c r="I6" s="36">
        <v>64.5</v>
      </c>
      <c r="J6" s="36">
        <v>21.0</v>
      </c>
      <c r="K6" s="36">
        <v>10.1</v>
      </c>
      <c r="L6" s="36">
        <v>0.409431101</v>
      </c>
      <c r="M6" s="36">
        <v>54.0</v>
      </c>
      <c r="N6" s="36">
        <v>43.0</v>
      </c>
      <c r="O6" s="36">
        <v>45.0</v>
      </c>
      <c r="P6" s="36">
        <v>7.0</v>
      </c>
      <c r="Q6" s="36">
        <v>11.0</v>
      </c>
      <c r="R6" s="36">
        <v>32.0</v>
      </c>
      <c r="S6" s="36">
        <v>12.125</v>
      </c>
      <c r="T6" s="36">
        <v>127.0</v>
      </c>
      <c r="U6" s="36">
        <v>16.31816324</v>
      </c>
      <c r="V6" s="36">
        <v>254.0</v>
      </c>
      <c r="W6" s="36">
        <v>65.0</v>
      </c>
      <c r="X6" s="36">
        <v>131.76</v>
      </c>
      <c r="Y6" s="36">
        <v>16.0</v>
      </c>
      <c r="Z6" s="36">
        <v>3.0</v>
      </c>
      <c r="AA6" s="36">
        <v>2797626.211</v>
      </c>
      <c r="AB6" s="36">
        <v>0.244525547</v>
      </c>
      <c r="AC6" s="36">
        <v>1016.908614</v>
      </c>
      <c r="AD6" s="36">
        <v>53.0</v>
      </c>
      <c r="AE6" s="36">
        <v>974.7541667</v>
      </c>
      <c r="AF6" s="36">
        <v>38.2875</v>
      </c>
      <c r="AG6" s="36">
        <v>9.486953606</v>
      </c>
      <c r="AH6" s="36">
        <v>3.0</v>
      </c>
      <c r="AI6" s="36">
        <v>8.0</v>
      </c>
      <c r="AJ6" s="36">
        <v>15.0</v>
      </c>
      <c r="AK6" s="36">
        <v>79.749118</v>
      </c>
      <c r="AL6" s="36">
        <v>107.0</v>
      </c>
      <c r="AM6" s="36">
        <v>8.0</v>
      </c>
      <c r="AN6" s="36">
        <v>92.70833333</v>
      </c>
      <c r="AO6" s="36">
        <v>79.0</v>
      </c>
      <c r="AP6" s="36">
        <v>11.0</v>
      </c>
      <c r="AQ6" s="36">
        <v>25.0</v>
      </c>
      <c r="AR6" s="36">
        <v>101.0</v>
      </c>
    </row>
    <row r="7" ht="15.75" customHeight="1"/>
    <row r="8" ht="15.75" customHeight="1"/>
    <row r="9" ht="15.75" customHeight="1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</row>
    <row r="10" ht="15.75" customHeight="1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</row>
    <row r="11" ht="15.75" customHeight="1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</row>
    <row r="12" ht="15.75" customHeight="1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</row>
    <row r="13" ht="15.75" customHeight="1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5.25"/>
    <col customWidth="1" min="3" max="3" width="12.63"/>
    <col customWidth="1" min="4" max="4" width="13.5"/>
    <col customWidth="1" min="5" max="5" width="21.5"/>
    <col customWidth="1" min="6" max="6" width="12.63"/>
  </cols>
  <sheetData>
    <row r="1" ht="15.75" customHeight="1">
      <c r="A1" s="53" t="s">
        <v>192</v>
      </c>
      <c r="B1" s="51" t="s">
        <v>193</v>
      </c>
      <c r="C1" s="51" t="s">
        <v>194</v>
      </c>
      <c r="D1" s="59" t="s">
        <v>195</v>
      </c>
      <c r="E1" s="60"/>
    </row>
    <row r="2" ht="15.75" customHeight="1">
      <c r="A2" s="53" t="s">
        <v>61</v>
      </c>
      <c r="B2" s="61">
        <v>7.92</v>
      </c>
      <c r="C2" s="51">
        <v>66.0</v>
      </c>
      <c r="D2" s="62">
        <f t="shared" ref="D2:D7" si="1"> B2/C2</f>
        <v>0.12</v>
      </c>
      <c r="E2" s="63"/>
    </row>
    <row r="3" ht="15.75" customHeight="1">
      <c r="A3" s="53" t="s">
        <v>62</v>
      </c>
      <c r="B3" s="61">
        <v>9.0</v>
      </c>
      <c r="C3" s="51">
        <v>66.0</v>
      </c>
      <c r="D3" s="62">
        <f t="shared" si="1"/>
        <v>0.1363636364</v>
      </c>
      <c r="E3" s="63"/>
    </row>
    <row r="4" ht="15.75" customHeight="1">
      <c r="A4" s="53" t="s">
        <v>196</v>
      </c>
      <c r="B4" s="61">
        <v>6.0</v>
      </c>
      <c r="C4" s="51">
        <v>66.0</v>
      </c>
      <c r="D4" s="62">
        <f t="shared" si="1"/>
        <v>0.09090909091</v>
      </c>
      <c r="E4" s="63"/>
    </row>
    <row r="5" ht="15.75" customHeight="1">
      <c r="A5" s="53" t="s">
        <v>64</v>
      </c>
      <c r="B5" s="61">
        <v>15.18</v>
      </c>
      <c r="C5" s="51">
        <v>66.0</v>
      </c>
      <c r="D5" s="62">
        <f t="shared" si="1"/>
        <v>0.23</v>
      </c>
      <c r="E5" s="63"/>
    </row>
    <row r="6" ht="15.75" customHeight="1">
      <c r="A6" s="53" t="s">
        <v>65</v>
      </c>
      <c r="B6" s="61">
        <v>7.92</v>
      </c>
      <c r="C6" s="51">
        <v>66.0</v>
      </c>
      <c r="D6" s="62">
        <f t="shared" si="1"/>
        <v>0.12</v>
      </c>
      <c r="E6" s="63"/>
    </row>
    <row r="7" ht="15.75" customHeight="1">
      <c r="A7" s="53" t="s">
        <v>66</v>
      </c>
      <c r="B7" s="61">
        <v>5.0</v>
      </c>
      <c r="C7" s="51">
        <v>66.0</v>
      </c>
      <c r="D7" s="62">
        <f t="shared" si="1"/>
        <v>0.07575757576</v>
      </c>
      <c r="E7" s="6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